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edoardomori/Desktop/GitHub/"/>
    </mc:Choice>
  </mc:AlternateContent>
  <xr:revisionPtr revIDLastSave="0" documentId="13_ncr:1_{C831C935-58A3-2F42-BADB-5F52F500F379}" xr6:coauthVersionLast="47" xr6:coauthVersionMax="47" xr10:uidLastSave="{00000000-0000-0000-0000-000000000000}"/>
  <bookViews>
    <workbookView xWindow="0" yWindow="760" windowWidth="34560" windowHeight="20060" xr2:uid="{37E07AA1-3927-4C47-8269-BECDDA042C80}"/>
  </bookViews>
  <sheets>
    <sheet name="BancoBPM_BalanceSheet" sheetId="2" r:id="rId1"/>
    <sheet name="BancoBPM_IncomeStatement" sheetId="3" r:id="rId2"/>
    <sheet name="UniCredit_BalanceSheet" sheetId="4" r:id="rId3"/>
    <sheet name="UniCredit_IncomeStatement" sheetId="5" r:id="rId4"/>
    <sheet name="Solution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 l="1"/>
  <c r="J5" i="4"/>
  <c r="I23" i="4"/>
  <c r="I22" i="4"/>
  <c r="I21" i="4"/>
  <c r="I20" i="4"/>
  <c r="I19" i="4"/>
  <c r="I18" i="4"/>
  <c r="I8" i="4"/>
  <c r="I7" i="4"/>
  <c r="I6" i="4"/>
  <c r="I5" i="4"/>
  <c r="I4" i="4"/>
  <c r="I22" i="2"/>
  <c r="I21" i="2"/>
  <c r="I20" i="2"/>
  <c r="I19" i="2"/>
  <c r="I18" i="2"/>
  <c r="I17" i="2"/>
  <c r="I6" i="2"/>
  <c r="I5" i="2"/>
  <c r="I4" i="2"/>
  <c r="I3" i="2"/>
  <c r="G12" i="2"/>
  <c r="B39" i="4"/>
  <c r="B50" i="2"/>
  <c r="B49" i="2"/>
  <c r="B48" i="6"/>
  <c r="B25" i="6"/>
  <c r="C21" i="6"/>
  <c r="B21" i="6"/>
  <c r="B7" i="6"/>
  <c r="B6" i="6"/>
  <c r="B8" i="6" s="1"/>
  <c r="C4" i="6"/>
  <c r="J23" i="4"/>
  <c r="J22" i="4"/>
  <c r="J21" i="4"/>
  <c r="J20" i="4"/>
  <c r="J19" i="4"/>
  <c r="J18" i="4"/>
  <c r="J26" i="4"/>
  <c r="J8" i="4"/>
  <c r="J7" i="4"/>
  <c r="J6" i="4"/>
  <c r="J4" i="4"/>
  <c r="J11" i="4" s="1"/>
  <c r="J22" i="2"/>
  <c r="J20" i="2"/>
  <c r="J21" i="2"/>
  <c r="J19" i="2"/>
  <c r="J18" i="2"/>
  <c r="J17" i="2"/>
  <c r="J3" i="2"/>
  <c r="J6" i="2"/>
  <c r="J5" i="2"/>
  <c r="J4" i="2"/>
  <c r="B50" i="6"/>
  <c r="B53" i="6" s="1"/>
  <c r="B49" i="6"/>
  <c r="G4" i="4"/>
  <c r="G12" i="4"/>
  <c r="B54" i="6" l="1"/>
  <c r="J25" i="2"/>
  <c r="J10" i="2"/>
  <c r="B58" i="6"/>
  <c r="J29" i="4"/>
  <c r="J31" i="4" s="1"/>
  <c r="B59" i="6"/>
  <c r="C22" i="6"/>
  <c r="B63" i="6"/>
  <c r="B64" i="6" s="1"/>
  <c r="J28" i="2" l="1"/>
  <c r="J31" i="2" s="1"/>
  <c r="C14" i="6"/>
  <c r="C11" i="6"/>
  <c r="C24" i="6"/>
  <c r="C19" i="6"/>
  <c r="B19" i="6"/>
  <c r="C18" i="6"/>
  <c r="C17" i="6"/>
  <c r="C16" i="6"/>
  <c r="B16" i="6"/>
  <c r="B18" i="6"/>
  <c r="B17" i="6"/>
  <c r="C13" i="6"/>
  <c r="B13" i="6"/>
  <c r="B14" i="6"/>
  <c r="B11" i="6"/>
  <c r="G24" i="4"/>
  <c r="G18" i="4"/>
  <c r="G19" i="4"/>
  <c r="G20" i="4"/>
  <c r="G21" i="4"/>
  <c r="G17" i="4"/>
  <c r="G27" i="4" s="1"/>
  <c r="G28" i="4" s="1"/>
  <c r="G5" i="4"/>
  <c r="G6" i="4"/>
  <c r="G14" i="4" s="1"/>
  <c r="G15" i="4" s="1"/>
  <c r="G7" i="4"/>
  <c r="G32" i="2"/>
  <c r="G28" i="2"/>
  <c r="G27" i="2"/>
  <c r="G24" i="2"/>
  <c r="G23" i="2"/>
  <c r="G19" i="2"/>
  <c r="G11" i="2"/>
  <c r="G7" i="2"/>
  <c r="G4" i="2"/>
  <c r="G13" i="2" s="1"/>
  <c r="G14" i="2" s="1"/>
  <c r="B38" i="4"/>
  <c r="B46" i="2"/>
  <c r="B35" i="4"/>
  <c r="B32" i="4"/>
  <c r="B41" i="2"/>
  <c r="B34" i="4"/>
  <c r="B33" i="4"/>
  <c r="B42" i="2"/>
  <c r="B44" i="2"/>
  <c r="C33" i="4"/>
  <c r="C34" i="4"/>
  <c r="B40" i="2"/>
  <c r="B39" i="2"/>
  <c r="B38" i="2"/>
  <c r="B8" i="5"/>
  <c r="G33" i="2" l="1"/>
  <c r="G34" i="2" s="1"/>
  <c r="B26" i="6"/>
  <c r="B27" i="6" s="1"/>
  <c r="B22" i="6"/>
  <c r="B24" i="6"/>
  <c r="B10" i="6" s="1"/>
  <c r="B40" i="4"/>
  <c r="B41" i="4" s="1"/>
  <c r="B51" i="2"/>
  <c r="B52" i="2" s="1"/>
  <c r="C10" i="6"/>
  <c r="C35" i="6"/>
  <c r="B37" i="4"/>
  <c r="B36" i="4"/>
  <c r="B48" i="2"/>
  <c r="B47" i="2"/>
  <c r="B55" i="2" l="1"/>
  <c r="B56" i="2" s="1"/>
  <c r="B35" i="6"/>
  <c r="B58" i="2"/>
  <c r="B59" i="2" s="1"/>
  <c r="B47" i="4"/>
  <c r="B48" i="4" s="1"/>
  <c r="B44" i="4"/>
  <c r="B45" i="4" s="1"/>
</calcChain>
</file>

<file path=xl/sharedStrings.xml><?xml version="1.0" encoding="utf-8"?>
<sst xmlns="http://schemas.openxmlformats.org/spreadsheetml/2006/main" count="281" uniqueCount="228">
  <si>
    <t>Banco BPM: Reclassified consolidated balance sheet</t>
  </si>
  <si>
    <t>Figures in thousands of euro</t>
  </si>
  <si>
    <t>31/12/2023</t>
  </si>
  <si>
    <t xml:space="preserve">Duration </t>
  </si>
  <si>
    <t>Yield</t>
  </si>
  <si>
    <t>Duration asset</t>
  </si>
  <si>
    <t>Product</t>
  </si>
  <si>
    <t>Asset change</t>
  </si>
  <si>
    <t>Cash and cash equivalents</t>
  </si>
  <si>
    <t>Loans at AC</t>
  </si>
  <si>
    <t xml:space="preserve">  - Loans to banks</t>
  </si>
  <si>
    <t xml:space="preserve">  - Loans to customers</t>
  </si>
  <si>
    <t>Other financial assets and hedging derivatives</t>
  </si>
  <si>
    <t xml:space="preserve">  - At FV through Profit and Loss</t>
  </si>
  <si>
    <t xml:space="preserve">  - At FV through OCI</t>
  </si>
  <si>
    <t xml:space="preserve">  - At AC</t>
  </si>
  <si>
    <t>Total</t>
  </si>
  <si>
    <t>Financial assets pertaining to insurance companies</t>
  </si>
  <si>
    <t>Interests in associates and joint ventures</t>
  </si>
  <si>
    <t>Property, plant and equipment</t>
  </si>
  <si>
    <t>Sum</t>
  </si>
  <si>
    <t>Intangible assets</t>
  </si>
  <si>
    <t>Weighted avg duration</t>
  </si>
  <si>
    <t>Tax assets</t>
  </si>
  <si>
    <t>Non-current assets and disposal groups held for sale</t>
  </si>
  <si>
    <t>Liabilities change</t>
  </si>
  <si>
    <t>Other asset items</t>
  </si>
  <si>
    <t>Total assets</t>
  </si>
  <si>
    <t>DURATION LIABILITIES</t>
  </si>
  <si>
    <t>Direct bank funding</t>
  </si>
  <si>
    <t xml:space="preserve">  - Due to customers</t>
  </si>
  <si>
    <t xml:space="preserve">  - Securities and financial liabilities designated at FV</t>
  </si>
  <si>
    <t>Direct funding from insurance business and insurance liabilities</t>
  </si>
  <si>
    <t xml:space="preserve">  - Financial liabilities pertaining to insurance companies measured at fair value</t>
  </si>
  <si>
    <t xml:space="preserve">  - Insurance liabilities</t>
  </si>
  <si>
    <t>Due to banks</t>
  </si>
  <si>
    <t>Lease payables</t>
  </si>
  <si>
    <t>Other financial liabilities designated at fair value</t>
  </si>
  <si>
    <t>Other financial liabilities pertaining to insurance companies</t>
  </si>
  <si>
    <t>∆E=∆A-∆L</t>
  </si>
  <si>
    <t>Liability provisions</t>
  </si>
  <si>
    <t>Tax liabilities</t>
  </si>
  <si>
    <t>Liabilities associated with assets classified as held for sale</t>
  </si>
  <si>
    <t>Change in equity%</t>
  </si>
  <si>
    <t>Other liability items</t>
  </si>
  <si>
    <t>Non-controlling interests</t>
  </si>
  <si>
    <t>Group shareholders' equity</t>
  </si>
  <si>
    <t>Total liabilities and shareholders' equity</t>
  </si>
  <si>
    <t>ROA = net income / total asets</t>
  </si>
  <si>
    <t>ROE = net income/ share holders equity</t>
  </si>
  <si>
    <t xml:space="preserve">Total liabilities </t>
  </si>
  <si>
    <t>Leverage Ratio</t>
  </si>
  <si>
    <t>Leverage-adjusted duration gap</t>
  </si>
  <si>
    <t>a) increase in the yield of 1%</t>
  </si>
  <si>
    <t>∆R/(1 + R)</t>
  </si>
  <si>
    <t>∆E = −DGAP × A × ∆R/(1 + R)</t>
  </si>
  <si>
    <t>New E</t>
  </si>
  <si>
    <t>b) decrease in the yield of 0,5%</t>
  </si>
  <si>
    <t>Banco BPM: Reclassified consolidated income statement</t>
  </si>
  <si>
    <t>2023</t>
  </si>
  <si>
    <t>Net interest income</t>
  </si>
  <si>
    <t>Gains (losses) on interests in associates and joint ventures carried at equity</t>
  </si>
  <si>
    <t>Financial margin</t>
  </si>
  <si>
    <t xml:space="preserve">  - Net fee and commission income</t>
  </si>
  <si>
    <t xml:space="preserve">  - Other net operating income</t>
  </si>
  <si>
    <t xml:space="preserve">  - Net financial result</t>
  </si>
  <si>
    <t xml:space="preserve">  - Profit (loss) on insurance business</t>
  </si>
  <si>
    <t>Other operating income</t>
  </si>
  <si>
    <t>Operating income</t>
  </si>
  <si>
    <t xml:space="preserve">  - Personnel expenses</t>
  </si>
  <si>
    <t xml:space="preserve">  - Other administrative expenses</t>
  </si>
  <si>
    <t xml:space="preserve">  - Net value adjustments to property, plant and equipment and intangible assets</t>
  </si>
  <si>
    <t>Operating expenses</t>
  </si>
  <si>
    <t>Profit (loss) from operations</t>
  </si>
  <si>
    <t xml:space="preserve">  - Net adjustments to loans to customers</t>
  </si>
  <si>
    <t xml:space="preserve">  - Fair value gains (losses) on property, plant and equipment</t>
  </si>
  <si>
    <t xml:space="preserve">  - Net adjustments to securities and other financial assets</t>
  </si>
  <si>
    <t xml:space="preserve">  - Net provisions for risks and charges</t>
  </si>
  <si>
    <t xml:space="preserve">  - Gains (losses) on interests in associates and joint ventures and other investments</t>
  </si>
  <si>
    <t>Profit (loss) before tax from continuing operations</t>
  </si>
  <si>
    <t xml:space="preserve">  - Taxation charge related to profit or loss from continuing operations</t>
  </si>
  <si>
    <t>Profit (loss) after tax from continuing operations</t>
  </si>
  <si>
    <t xml:space="preserve">  - Charges related to the banking system, net of taxes</t>
  </si>
  <si>
    <t xml:space="preserve">  - Impact of the realignment of tax values to book values</t>
  </si>
  <si>
    <t xml:space="preserve">  - Bancassurance impacts net of taxes</t>
  </si>
  <si>
    <t xml:space="preserve">  - Goodwill impairment</t>
  </si>
  <si>
    <t xml:space="preserve">  - Change in own credit risk on Certificates issued by the Group, net of taxes</t>
  </si>
  <si>
    <t xml:space="preserve">  - Purchase Price Allocation net of taxes</t>
  </si>
  <si>
    <t>Profit (loss) for the year attributable to non-controlling interests</t>
  </si>
  <si>
    <t>Parent Company's profit (loss) for the year</t>
  </si>
  <si>
    <t>UniCredit: Reclassified consolidated balance sheet</t>
  </si>
  <si>
    <t>Figures in million</t>
  </si>
  <si>
    <t>31.12.2023</t>
  </si>
  <si>
    <t>Duration</t>
  </si>
  <si>
    <t>Cash and cash balances</t>
  </si>
  <si>
    <t>Financial assets held for trading</t>
  </si>
  <si>
    <t>Loans to banks</t>
  </si>
  <si>
    <t>Loans to customers</t>
  </si>
  <si>
    <t>Other financial assets</t>
  </si>
  <si>
    <t>Hedging instruments</t>
  </si>
  <si>
    <t>Goodwill</t>
  </si>
  <si>
    <t>Other intangible assets</t>
  </si>
  <si>
    <t>Non-current assets and disposal groups classified as held for sale</t>
  </si>
  <si>
    <t>Other assets</t>
  </si>
  <si>
    <t>Deposits from banks</t>
  </si>
  <si>
    <t>Duration liabilities</t>
  </si>
  <si>
    <t>Deposits from customers</t>
  </si>
  <si>
    <t>Debt securities issued</t>
  </si>
  <si>
    <t>Financial liabilities held for trading</t>
  </si>
  <si>
    <t>Other financial liabilities</t>
  </si>
  <si>
    <t>Liabilities included in disposal groups classified as held for sale</t>
  </si>
  <si>
    <t>Other liabilities</t>
  </si>
  <si>
    <t>Minorities</t>
  </si>
  <si>
    <t>Capital and reserves</t>
  </si>
  <si>
    <t>Group stated net profit (loss)</t>
  </si>
  <si>
    <t>ROA</t>
  </si>
  <si>
    <t>ROE</t>
  </si>
  <si>
    <t>Total liabilities</t>
  </si>
  <si>
    <t>UniCredit: Reclassified consolidated income statement</t>
  </si>
  <si>
    <t>Net interest</t>
  </si>
  <si>
    <t>Dividends</t>
  </si>
  <si>
    <t>Fees</t>
  </si>
  <si>
    <t>Trading income</t>
  </si>
  <si>
    <t>Other expenses/income</t>
  </si>
  <si>
    <t>Revenue</t>
  </si>
  <si>
    <t>HR costs</t>
  </si>
  <si>
    <t>Non HR costs</t>
  </si>
  <si>
    <t>Recovery of expenses</t>
  </si>
  <si>
    <t>Amortisations and depreciations</t>
  </si>
  <si>
    <t>Operating costs</t>
  </si>
  <si>
    <t>GROSS OPERATING PROFIT (LOSS)</t>
  </si>
  <si>
    <t>Loan Loss Provisions (LLPs)</t>
  </si>
  <si>
    <t>NET OPERATING PROFIT (LOSS)</t>
  </si>
  <si>
    <t>Other charges and provisions</t>
  </si>
  <si>
    <t xml:space="preserve">  - of which: systemic charges</t>
  </si>
  <si>
    <t>Integration costs</t>
  </si>
  <si>
    <t>Net income from investments</t>
  </si>
  <si>
    <t>PROFIT (LOSS) BEFORE TAX</t>
  </si>
  <si>
    <t>Income taxes</t>
  </si>
  <si>
    <t>Profit (Loss) of discontinued operations</t>
  </si>
  <si>
    <t>NET PROFIT (LOSS) FOR THE PERIOD</t>
  </si>
  <si>
    <t>NET PROFIT (LOSS) ATTRIBUTABLE TO THE GROUP BEFORE PPA</t>
  </si>
  <si>
    <t>Purchase Price Allocation (PPA)</t>
  </si>
  <si>
    <t>Goodwill impairment</t>
  </si>
  <si>
    <t>GROUP STATED NET PROFIT (LOSS)</t>
  </si>
  <si>
    <t>Questions</t>
  </si>
  <si>
    <t>BPM</t>
  </si>
  <si>
    <t>UniCredit</t>
  </si>
  <si>
    <t>Notes</t>
  </si>
  <si>
    <t>Part I: Bank Balance Sheet</t>
  </si>
  <si>
    <t>Question 1</t>
  </si>
  <si>
    <t>Net Worth</t>
  </si>
  <si>
    <t>Question 2</t>
  </si>
  <si>
    <t>Deposits from costumers</t>
  </si>
  <si>
    <t>Since Banco BPM has cash and cash equialents that exceed the required reserve, the bank is compliant with the ECB's reserve requirement ratio. If Banco BPM was not compliant, there are different strategies that the bank could have adopted like borrowing from other banks or issue Certificated of Deposits (CDs), borrowing from the ECB, selling securities and deposit proceeds with ECB or selling some loans.</t>
  </si>
  <si>
    <t>Required reserve (2.5%)</t>
  </si>
  <si>
    <t>Question 3</t>
  </si>
  <si>
    <t>UniCredit is more profitable than Banco BPM based on ROE and ROA.</t>
  </si>
  <si>
    <t>Question 4</t>
  </si>
  <si>
    <t>Asset Utilization</t>
  </si>
  <si>
    <t>UniCredit is more efficient than Banco BPM, with better expense control due to lower costs and provisions and stronger income generation (higher asset utilization, profit margin) making it more profitable compared to Banco BPM.</t>
  </si>
  <si>
    <t>Profit Margin</t>
  </si>
  <si>
    <t xml:space="preserve">        Interest Expense Ratio</t>
  </si>
  <si>
    <t>N/A</t>
  </si>
  <si>
    <t xml:space="preserve">        Provision for Loss Ratio</t>
  </si>
  <si>
    <t xml:space="preserve">        Noninterest Expense Ratio</t>
  </si>
  <si>
    <t xml:space="preserve">        Tax Ratio</t>
  </si>
  <si>
    <t>NIM</t>
  </si>
  <si>
    <t>Question 5</t>
  </si>
  <si>
    <t>Loss on Loans</t>
  </si>
  <si>
    <t>After the distress, both banks experiences a decline in their net worth. In particular, Banco BPM was affected mor due to the higher loan's rate of default.</t>
  </si>
  <si>
    <t>New Net Worth</t>
  </si>
  <si>
    <t>Question 6</t>
  </si>
  <si>
    <t>Equity Multiplier of both banks</t>
  </si>
  <si>
    <t>To raise the equity multiplier and therfore increase ROE, the bank can either reduce capital (e.g., share buybacks or dividends) or increase assets (e.g., issuing debt).</t>
  </si>
  <si>
    <t>Total assests after the merge (millions)</t>
  </si>
  <si>
    <t>Net Worth after the merge (millions)</t>
  </si>
  <si>
    <t>Equity Multiplier after the merge</t>
  </si>
  <si>
    <t>Question 7</t>
  </si>
  <si>
    <t>Part II: Interest Rate Risk</t>
  </si>
  <si>
    <t> BPM</t>
  </si>
  <si>
    <t> UniCredit</t>
  </si>
  <si>
    <t> Notes</t>
  </si>
  <si>
    <t>1) Leverage-adjusted duration gap (in years)</t>
  </si>
  <si>
    <t>DA-DL * Laverage Ratio</t>
  </si>
  <si>
    <t xml:space="preserve">2) Change in the value of assets </t>
  </si>
  <si>
    <t>∆A=-D*A*∆R/(1 + R)</t>
  </si>
  <si>
    <t>Change in the value of liabilities</t>
  </si>
  <si>
    <t>∆A=-D*L*∆R/(1 + R)</t>
  </si>
  <si>
    <t>Change in equity</t>
  </si>
  <si>
    <t>Since the duration of the assets is longer, the decrease in interest rate caused a positive equity change. As expected BPM bank is more sensitive to changes in interest rates since the duration mismatch between assets and liabilities is greater, consequently BPM's equity value has undergone a greater variation than Unicredit's</t>
  </si>
  <si>
    <t>3) Change in equity</t>
  </si>
  <si>
    <t>∆A=-D*A*∆R/(1 + R) , Since the duration of assets is longer than that of liabilities, the increase in interest rate has led to a decrese in equity. The decrease in equity of BPM is higher since it is more sensitive.</t>
  </si>
  <si>
    <t>New equity</t>
  </si>
  <si>
    <t>∆E = −DGAP × A × ∆R/(1 + R) , Since the duration of assets is longer than that of liabilities, the decrease in interest rate has led to an increase in equity. The increse in equity of BPM is higher since it is more sensitive.</t>
  </si>
  <si>
    <t>Part III: Liquidity Risk</t>
  </si>
  <si>
    <t>Deposits</t>
  </si>
  <si>
    <t>Financial Assets at Fair Value</t>
  </si>
  <si>
    <t>Liquidation 3 days</t>
  </si>
  <si>
    <t>High discount on asset significantly reduces available liquidity limiting the ability of the bank to meet withdrawls</t>
  </si>
  <si>
    <t>Discounted Financial Asset at Fair Value (40%)</t>
  </si>
  <si>
    <t>Total Avaliable for  Liquidation (3 days)</t>
  </si>
  <si>
    <t>Liquidation in 5 days</t>
  </si>
  <si>
    <t>Lower discount improves liquidity which allows the bank to cover a larger portion of withdrawal requests.</t>
  </si>
  <si>
    <t>Discounted Financial Asset at Fair Value (8%)</t>
  </si>
  <si>
    <t>Total Avaliable for Immediate Liquidation (5 days)</t>
  </si>
  <si>
    <t>Liquidation in one week</t>
  </si>
  <si>
    <t>No discount maximizes liquidity allowing the bank to cover a larger portion of withdrawl. However, even this case, the bank is not able to fully meet all withdrwal demands.</t>
  </si>
  <si>
    <t>Discounted Financial Asset at Fair Value (no discount)</t>
  </si>
  <si>
    <t>Total Avaliable for Liquidation (one week)</t>
  </si>
  <si>
    <t>Liquidity Risk Metrics</t>
  </si>
  <si>
    <t>Liquid coverage ratio</t>
  </si>
  <si>
    <t>Both banks have an LCR greater than 100%, so they are able to cover cash outflows in the short term, reducing the risk of default. However, BPM has a value greater than 150%, which means that it holds too many liquid assets that are excessively conservative, but this reduces profitability due to lower returns compared to other investments. Then both banks have almost similar NSFR of around 130%. This means that the banks are strong in terms of long-term liquidity and have low dependence on short-term funding. But a value around 110-120% would be desirable to boost the growth and profitability of the banks.</t>
  </si>
  <si>
    <t xml:space="preserve">Net stable funding ratio </t>
  </si>
  <si>
    <t>The proposed merger between UniCredit and Banco BPM aligns with the strategic rationale outlined in the report, aiming to consolidate market positioning and amplify competitive strength. Post-merger, UniCredit would surpass Intesa Sanpaolo to become the largest Italian bank by market capitalization, significantly reshaping the national banking landscape. This consolidation would create a duopoly between Intesa and UniCredit, both holding substantial market leverage compared to smaller domestic players. Such a structural shift is likely to draw regulatory scrutiny over concerns of reduced competition and increased systemic risk, emphasizing the need to balance financial ambitions with antitrust and market stability considerations.</t>
  </si>
  <si>
    <t>Research on banks by market capitalization:
Intesa Sanpaolo: €69.16 billion
UniCredit: €61.12 billion
Mediobanca: €12.77 billion
FinecoBank: €9.22 billion
Banco BPM: €9.18 billion</t>
  </si>
  <si>
    <t>Change in market interest rates:</t>
  </si>
  <si>
    <t xml:space="preserve">Interest earnings assets </t>
  </si>
  <si>
    <t xml:space="preserve">Worthless loans </t>
  </si>
  <si>
    <t xml:space="preserve">New net capital </t>
  </si>
  <si>
    <t xml:space="preserve">Reduction of net capital </t>
  </si>
  <si>
    <t xml:space="preserve">Equity multiplier = total asstes/ total equity </t>
  </si>
  <si>
    <t>Reserve requested by ECB</t>
  </si>
  <si>
    <t xml:space="preserve">Deposits </t>
  </si>
  <si>
    <t>Reserves</t>
  </si>
  <si>
    <t xml:space="preserve">Interest - earning assets </t>
  </si>
  <si>
    <t>a) Increase in the yield of 1%</t>
  </si>
  <si>
    <t>b) Decrease in the yield of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</si>
</sst>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44" formatCode="_-* #,##0.00\ &quot;€&quot;_-;\-* #,##0.00\ &quot;€&quot;_-;_-* &quot;-&quot;??\ &quot;€&quot;_-;_-@_-"/>
    <numFmt numFmtId="43" formatCode="_-* #,##0.00_-;\-* #,##0.00_-;_-* &quot;-&quot;??_-;_-@_-"/>
    <numFmt numFmtId="164" formatCode="_-* #,##0.00\ [$€-410]_-;\-* #,##0.00\ [$€-410]_-;_-* &quot;-&quot;??\ [$€-410]_-;_-@_-"/>
    <numFmt numFmtId="165" formatCode="#,##0.00\ &quot;€&quot;"/>
    <numFmt numFmtId="166" formatCode="#,##0;\-#,##0;\-"/>
    <numFmt numFmtId="167" formatCode="0.000%"/>
    <numFmt numFmtId="168" formatCode="0.000"/>
  </numFmts>
  <fonts count="26" x14ac:knownFonts="1">
    <font>
      <sz val="12"/>
      <color theme="1"/>
      <name val="Aptos Narrow"/>
      <family val="2"/>
      <scheme val="minor"/>
    </font>
    <font>
      <sz val="12"/>
      <color theme="1"/>
      <name val="Aptos Narrow"/>
      <family val="2"/>
      <scheme val="minor"/>
    </font>
    <font>
      <sz val="11"/>
      <color theme="1"/>
      <name val="Aptos Narrow"/>
      <family val="2"/>
      <scheme val="minor"/>
    </font>
    <font>
      <b/>
      <sz val="11"/>
      <name val="Aptos Display"/>
      <family val="1"/>
      <scheme val="major"/>
    </font>
    <font>
      <sz val="11"/>
      <name val="Aptos Display"/>
      <family val="1"/>
      <scheme val="major"/>
    </font>
    <font>
      <sz val="10"/>
      <name val="Arial"/>
      <family val="2"/>
    </font>
    <font>
      <i/>
      <sz val="11"/>
      <name val="Aptos Display"/>
      <family val="1"/>
      <scheme val="major"/>
    </font>
    <font>
      <b/>
      <sz val="11"/>
      <color theme="1"/>
      <name val="Aptos Narrow"/>
      <family val="2"/>
      <scheme val="minor"/>
    </font>
    <font>
      <i/>
      <sz val="11"/>
      <color theme="1"/>
      <name val="Aptos Narrow"/>
      <family val="2"/>
      <scheme val="minor"/>
    </font>
    <font>
      <sz val="11"/>
      <name val="Cambria"/>
      <family val="1"/>
    </font>
    <font>
      <b/>
      <sz val="11"/>
      <name val="Cambria"/>
      <family val="1"/>
    </font>
    <font>
      <sz val="7"/>
      <name val="Cambria"/>
      <family val="1"/>
    </font>
    <font>
      <i/>
      <sz val="7"/>
      <name val="Cambria"/>
      <family val="1"/>
    </font>
    <font>
      <sz val="11"/>
      <color theme="1"/>
      <name val="Cambria"/>
      <family val="1"/>
    </font>
    <font>
      <b/>
      <sz val="11"/>
      <color theme="1"/>
      <name val="Cambria"/>
      <family val="1"/>
    </font>
    <font>
      <sz val="11"/>
      <color rgb="FFFF0000"/>
      <name val="Aptos Narrow"/>
      <family val="2"/>
      <scheme val="minor"/>
    </font>
    <font>
      <b/>
      <sz val="16"/>
      <color rgb="FF000000"/>
      <name val="Calibri"/>
      <family val="2"/>
      <charset val="1"/>
    </font>
    <font>
      <sz val="11"/>
      <color rgb="FF000000"/>
      <name val="Calibri"/>
      <family val="2"/>
      <charset val="1"/>
    </font>
    <font>
      <b/>
      <sz val="12"/>
      <color theme="1"/>
      <name val="Aptos Narrow"/>
      <family val="2"/>
      <scheme val="minor"/>
    </font>
    <font>
      <sz val="8"/>
      <name val="Aptos Narrow"/>
      <family val="2"/>
      <scheme val="minor"/>
    </font>
    <font>
      <b/>
      <sz val="11"/>
      <color rgb="FF000000"/>
      <name val="Calibri"/>
      <family val="2"/>
    </font>
    <font>
      <b/>
      <sz val="11"/>
      <color rgb="FF000000"/>
      <name val="Calibri"/>
      <family val="2"/>
      <charset val="1"/>
    </font>
    <font>
      <sz val="11"/>
      <color rgb="FF000000"/>
      <name val="Calibri"/>
      <family val="2"/>
    </font>
    <font>
      <sz val="12"/>
      <color rgb="FF000000"/>
      <name val="Consolas"/>
      <family val="2"/>
    </font>
    <font>
      <sz val="11"/>
      <color rgb="FF000000"/>
      <name val="Aptos Narrow"/>
      <family val="2"/>
      <scheme val="minor"/>
    </font>
    <font>
      <sz val="10"/>
      <color theme="1"/>
      <name val="Aptos Narrow"/>
      <family val="2"/>
      <scheme val="minor"/>
    </font>
  </fonts>
  <fills count="6">
    <fill>
      <patternFill patternType="none"/>
    </fill>
    <fill>
      <patternFill patternType="gray125"/>
    </fill>
    <fill>
      <patternFill patternType="solid">
        <fgColor rgb="FFE7E6E6"/>
        <bgColor indexed="64"/>
      </patternFill>
    </fill>
    <fill>
      <patternFill patternType="solid">
        <fgColor rgb="FFFFFFFF"/>
        <bgColor indexed="64"/>
      </patternFill>
    </fill>
    <fill>
      <patternFill patternType="solid">
        <fgColor rgb="FFFFFF00"/>
        <bgColor indexed="64"/>
      </patternFill>
    </fill>
    <fill>
      <patternFill patternType="solid">
        <fgColor theme="2" tint="-0.249977111117893"/>
        <bgColor indexed="64"/>
      </patternFill>
    </fill>
  </fills>
  <borders count="40">
    <border>
      <left/>
      <right/>
      <top/>
      <bottom/>
      <diagonal/>
    </border>
    <border>
      <left/>
      <right/>
      <top style="thin">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indexed="64"/>
      </bottom>
      <diagonal/>
    </border>
    <border>
      <left style="medium">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auto="1"/>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s>
  <cellStyleXfs count="8">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0" fontId="5" fillId="0" borderId="0"/>
    <xf numFmtId="41" fontId="5" fillId="0" borderId="0" applyFont="0" applyFill="0" applyBorder="0" applyAlignment="0" applyProtection="0"/>
    <xf numFmtId="0" fontId="5" fillId="0" borderId="0"/>
    <xf numFmtId="44" fontId="1" fillId="0" borderId="0" applyFont="0" applyFill="0" applyBorder="0" applyAlignment="0" applyProtection="0"/>
  </cellStyleXfs>
  <cellXfs count="219">
    <xf numFmtId="0" fontId="0" fillId="0" borderId="0" xfId="0"/>
    <xf numFmtId="0" fontId="2" fillId="0" borderId="0" xfId="2"/>
    <xf numFmtId="164" fontId="2" fillId="0" borderId="0" xfId="2" applyNumberFormat="1"/>
    <xf numFmtId="0" fontId="3" fillId="0" borderId="0" xfId="2" applyFont="1"/>
    <xf numFmtId="0" fontId="4" fillId="0" borderId="1" xfId="2" applyFont="1" applyBorder="1"/>
    <xf numFmtId="164" fontId="4" fillId="0" borderId="1" xfId="2" applyNumberFormat="1" applyFont="1" applyBorder="1"/>
    <xf numFmtId="0" fontId="3" fillId="0" borderId="1" xfId="2" applyFont="1" applyBorder="1"/>
    <xf numFmtId="0" fontId="4" fillId="0" borderId="0" xfId="2" applyFont="1"/>
    <xf numFmtId="164" fontId="4" fillId="0" borderId="0" xfId="2" applyNumberFormat="1" applyFont="1"/>
    <xf numFmtId="10" fontId="4" fillId="0" borderId="0" xfId="3" applyNumberFormat="1" applyFont="1" applyBorder="1" applyAlignment="1">
      <alignment horizontal="right"/>
    </xf>
    <xf numFmtId="2" fontId="4" fillId="0" borderId="0" xfId="4" applyNumberFormat="1" applyFont="1" applyAlignment="1">
      <alignment horizontal="right"/>
    </xf>
    <xf numFmtId="0" fontId="6" fillId="0" borderId="0" xfId="2" applyFont="1"/>
    <xf numFmtId="10" fontId="3" fillId="0" borderId="0" xfId="5" applyNumberFormat="1" applyFont="1" applyFill="1" applyBorder="1" applyAlignment="1">
      <alignment vertical="center"/>
    </xf>
    <xf numFmtId="2" fontId="3" fillId="0" borderId="0" xfId="4" applyNumberFormat="1" applyFont="1" applyAlignment="1">
      <alignment vertical="center"/>
    </xf>
    <xf numFmtId="10" fontId="3" fillId="0" borderId="1" xfId="5" applyNumberFormat="1" applyFont="1" applyFill="1" applyBorder="1" applyAlignment="1">
      <alignment vertical="center" wrapText="1"/>
    </xf>
    <xf numFmtId="2" fontId="3" fillId="0" borderId="1" xfId="4" applyNumberFormat="1" applyFont="1" applyBorder="1" applyAlignment="1">
      <alignment vertical="center" wrapText="1"/>
    </xf>
    <xf numFmtId="164" fontId="3" fillId="0" borderId="1" xfId="2" applyNumberFormat="1" applyFont="1" applyBorder="1" applyAlignment="1">
      <alignment horizontal="center" vertical="top"/>
    </xf>
    <xf numFmtId="0" fontId="3" fillId="0" borderId="1" xfId="2" applyFont="1" applyBorder="1" applyAlignment="1">
      <alignment horizontal="center" vertical="top"/>
    </xf>
    <xf numFmtId="165" fontId="2" fillId="0" borderId="0" xfId="2" applyNumberFormat="1"/>
    <xf numFmtId="0" fontId="8" fillId="0" borderId="0" xfId="2" applyFont="1"/>
    <xf numFmtId="165" fontId="2" fillId="0" borderId="2" xfId="2" applyNumberFormat="1" applyBorder="1"/>
    <xf numFmtId="0" fontId="7" fillId="0" borderId="2" xfId="2" applyFont="1" applyBorder="1"/>
    <xf numFmtId="0" fontId="7" fillId="0" borderId="0" xfId="2" applyFont="1"/>
    <xf numFmtId="0" fontId="3" fillId="0" borderId="0" xfId="4" applyFont="1" applyAlignment="1">
      <alignment vertical="top" wrapText="1"/>
    </xf>
    <xf numFmtId="0" fontId="9" fillId="0" borderId="1" xfId="2" applyFont="1" applyBorder="1"/>
    <xf numFmtId="164" fontId="9" fillId="0" borderId="1" xfId="2" applyNumberFormat="1" applyFont="1" applyBorder="1"/>
    <xf numFmtId="0" fontId="10" fillId="0" borderId="1" xfId="2" applyFont="1" applyBorder="1"/>
    <xf numFmtId="0" fontId="9" fillId="0" borderId="0" xfId="2" applyFont="1"/>
    <xf numFmtId="10" fontId="11" fillId="0" borderId="0" xfId="6" applyNumberFormat="1" applyFont="1" applyProtection="1">
      <protection locked="0"/>
    </xf>
    <xf numFmtId="2" fontId="11" fillId="0" borderId="0" xfId="6" applyNumberFormat="1" applyFont="1" applyProtection="1">
      <protection locked="0"/>
    </xf>
    <xf numFmtId="166" fontId="12" fillId="0" borderId="1" xfId="6" applyNumberFormat="1" applyFont="1" applyBorder="1" applyAlignment="1" applyProtection="1">
      <alignment vertical="center"/>
      <protection locked="0"/>
    </xf>
    <xf numFmtId="166" fontId="12" fillId="0" borderId="1" xfId="6" applyNumberFormat="1" applyFont="1" applyBorder="1" applyProtection="1">
      <protection locked="0"/>
    </xf>
    <xf numFmtId="166" fontId="11" fillId="0" borderId="0" xfId="6" applyNumberFormat="1" applyFont="1" applyProtection="1">
      <protection locked="0"/>
    </xf>
    <xf numFmtId="166" fontId="10" fillId="0" borderId="1" xfId="6" applyNumberFormat="1" applyFont="1" applyBorder="1" applyAlignment="1" applyProtection="1">
      <alignment vertical="center"/>
      <protection locked="0"/>
    </xf>
    <xf numFmtId="166" fontId="10" fillId="0" borderId="1" xfId="6" applyNumberFormat="1" applyFont="1" applyBorder="1" applyProtection="1">
      <protection locked="0"/>
    </xf>
    <xf numFmtId="0" fontId="13" fillId="0" borderId="1" xfId="2" applyFont="1" applyBorder="1"/>
    <xf numFmtId="0" fontId="14" fillId="0" borderId="1" xfId="2" applyFont="1" applyBorder="1"/>
    <xf numFmtId="0" fontId="13" fillId="0" borderId="0" xfId="2" applyFont="1"/>
    <xf numFmtId="0" fontId="15" fillId="0" borderId="0" xfId="2" applyFont="1"/>
    <xf numFmtId="167" fontId="15" fillId="0" borderId="0" xfId="1" applyNumberFormat="1" applyFont="1"/>
    <xf numFmtId="9" fontId="15" fillId="0" borderId="0" xfId="1" applyFont="1"/>
    <xf numFmtId="165" fontId="15" fillId="0" borderId="0" xfId="2" applyNumberFormat="1" applyFont="1"/>
    <xf numFmtId="0" fontId="2" fillId="0" borderId="6" xfId="2" applyBorder="1"/>
    <xf numFmtId="0" fontId="2" fillId="0" borderId="10" xfId="2" applyBorder="1"/>
    <xf numFmtId="0" fontId="2" fillId="0" borderId="11" xfId="2" applyBorder="1"/>
    <xf numFmtId="164" fontId="2" fillId="0" borderId="10" xfId="2" applyNumberFormat="1" applyBorder="1"/>
    <xf numFmtId="0" fontId="2" fillId="0" borderId="9" xfId="2" applyBorder="1"/>
    <xf numFmtId="0" fontId="2" fillId="0" borderId="4" xfId="2" applyBorder="1"/>
    <xf numFmtId="0" fontId="2" fillId="0" borderId="5" xfId="2" applyBorder="1"/>
    <xf numFmtId="164" fontId="2" fillId="0" borderId="11" xfId="2" applyNumberFormat="1" applyBorder="1"/>
    <xf numFmtId="164" fontId="2" fillId="0" borderId="7" xfId="2" applyNumberFormat="1" applyBorder="1"/>
    <xf numFmtId="164" fontId="2" fillId="0" borderId="4" xfId="2" applyNumberFormat="1" applyBorder="1"/>
    <xf numFmtId="0" fontId="3" fillId="0" borderId="0" xfId="4" applyFont="1" applyAlignment="1">
      <alignment horizontal="left" vertical="top" wrapText="1"/>
    </xf>
    <xf numFmtId="0" fontId="3" fillId="0" borderId="3" xfId="4" applyFont="1" applyBorder="1" applyAlignment="1">
      <alignment horizontal="center" vertical="top" wrapText="1"/>
    </xf>
    <xf numFmtId="0" fontId="10" fillId="0" borderId="0" xfId="4" applyFont="1" applyAlignment="1">
      <alignment horizontal="left" vertical="top" wrapText="1"/>
    </xf>
    <xf numFmtId="0" fontId="2" fillId="4" borderId="8" xfId="2" applyFill="1" applyBorder="1"/>
    <xf numFmtId="0" fontId="0" fillId="0" borderId="0" xfId="0" applyAlignment="1">
      <alignment wrapText="1"/>
    </xf>
    <xf numFmtId="164" fontId="0" fillId="0" borderId="0" xfId="0" applyNumberFormat="1"/>
    <xf numFmtId="10" fontId="0" fillId="0" borderId="0" xfId="0" applyNumberFormat="1"/>
    <xf numFmtId="164" fontId="9" fillId="0" borderId="0" xfId="2" applyNumberFormat="1" applyFont="1"/>
    <xf numFmtId="0" fontId="7" fillId="0" borderId="1" xfId="2" applyFont="1" applyBorder="1"/>
    <xf numFmtId="165" fontId="2" fillId="0" borderId="1" xfId="2" applyNumberFormat="1" applyBorder="1"/>
    <xf numFmtId="0" fontId="14" fillId="0" borderId="2" xfId="2" applyFont="1" applyBorder="1"/>
    <xf numFmtId="0" fontId="14" fillId="0" borderId="0" xfId="2" applyFont="1"/>
    <xf numFmtId="0" fontId="13" fillId="0" borderId="2" xfId="2" applyFont="1" applyBorder="1"/>
    <xf numFmtId="10" fontId="2" fillId="0" borderId="0" xfId="1" applyNumberFormat="1" applyFont="1"/>
    <xf numFmtId="10" fontId="2" fillId="0" borderId="0" xfId="2" applyNumberFormat="1"/>
    <xf numFmtId="0" fontId="21" fillId="3" borderId="13" xfId="0" applyFont="1" applyFill="1" applyBorder="1"/>
    <xf numFmtId="164" fontId="0" fillId="0" borderId="13" xfId="0" applyNumberFormat="1" applyBorder="1"/>
    <xf numFmtId="0" fontId="20" fillId="3" borderId="13" xfId="0" applyFont="1" applyFill="1" applyBorder="1"/>
    <xf numFmtId="0" fontId="21" fillId="3" borderId="13" xfId="0" applyFont="1" applyFill="1" applyBorder="1" applyAlignment="1">
      <alignment wrapText="1"/>
    </xf>
    <xf numFmtId="0" fontId="22" fillId="3" borderId="13" xfId="0" applyFont="1" applyFill="1" applyBorder="1" applyAlignment="1">
      <alignment wrapText="1"/>
    </xf>
    <xf numFmtId="0" fontId="17" fillId="3" borderId="13" xfId="0" applyFont="1" applyFill="1" applyBorder="1" applyAlignment="1">
      <alignment wrapText="1"/>
    </xf>
    <xf numFmtId="43" fontId="2" fillId="0" borderId="12" xfId="2" applyNumberFormat="1" applyBorder="1"/>
    <xf numFmtId="164" fontId="2" fillId="0" borderId="12" xfId="2" applyNumberFormat="1" applyBorder="1"/>
    <xf numFmtId="0" fontId="2" fillId="0" borderId="15" xfId="2" applyBorder="1"/>
    <xf numFmtId="0" fontId="2" fillId="0" borderId="13" xfId="2" applyBorder="1"/>
    <xf numFmtId="0" fontId="2" fillId="0" borderId="16" xfId="2" applyBorder="1" applyAlignment="1">
      <alignment horizontal="center"/>
    </xf>
    <xf numFmtId="164" fontId="18" fillId="0" borderId="13" xfId="0" applyNumberFormat="1" applyFont="1" applyBorder="1"/>
    <xf numFmtId="164" fontId="2" fillId="0" borderId="14" xfId="2" applyNumberFormat="1" applyBorder="1"/>
    <xf numFmtId="164" fontId="2" fillId="0" borderId="19" xfId="2" applyNumberFormat="1" applyBorder="1"/>
    <xf numFmtId="0" fontId="24" fillId="0" borderId="0" xfId="0" applyFont="1"/>
    <xf numFmtId="9" fontId="2" fillId="0" borderId="0" xfId="1" applyFont="1" applyBorder="1"/>
    <xf numFmtId="43" fontId="2" fillId="0" borderId="0" xfId="2" applyNumberFormat="1"/>
    <xf numFmtId="0" fontId="2" fillId="4" borderId="20" xfId="2" applyFill="1" applyBorder="1"/>
    <xf numFmtId="164" fontId="2" fillId="0" borderId="0" xfId="2" applyNumberFormat="1" applyAlignment="1">
      <alignment vertical="center"/>
    </xf>
    <xf numFmtId="0" fontId="2" fillId="0" borderId="0" xfId="2" applyAlignment="1">
      <alignment horizontal="center"/>
    </xf>
    <xf numFmtId="164" fontId="2" fillId="4" borderId="21" xfId="2" applyNumberFormat="1" applyFill="1" applyBorder="1"/>
    <xf numFmtId="164" fontId="2" fillId="4" borderId="20" xfId="2" applyNumberFormat="1" applyFill="1" applyBorder="1"/>
    <xf numFmtId="0" fontId="24" fillId="0" borderId="0" xfId="0" applyFont="1" applyAlignment="1">
      <alignment horizontal="center"/>
    </xf>
    <xf numFmtId="164" fontId="24" fillId="0" borderId="0" xfId="0" applyNumberFormat="1" applyFont="1"/>
    <xf numFmtId="164" fontId="24" fillId="0" borderId="0" xfId="0" applyNumberFormat="1" applyFont="1" applyAlignment="1">
      <alignment vertical="center"/>
    </xf>
    <xf numFmtId="0" fontId="23" fillId="0" borderId="0" xfId="0" applyFont="1"/>
    <xf numFmtId="2" fontId="0" fillId="0" borderId="0" xfId="0" applyNumberFormat="1"/>
    <xf numFmtId="0" fontId="0" fillId="0" borderId="0" xfId="0" applyAlignment="1">
      <alignment vertical="center" wrapText="1"/>
    </xf>
    <xf numFmtId="0" fontId="21" fillId="3" borderId="13" xfId="0" applyFont="1" applyFill="1" applyBorder="1" applyAlignment="1">
      <alignment vertical="center"/>
    </xf>
    <xf numFmtId="10" fontId="0" fillId="0" borderId="13" xfId="0" applyNumberFormat="1" applyBorder="1" applyAlignment="1">
      <alignment horizontal="right"/>
    </xf>
    <xf numFmtId="0" fontId="25" fillId="0" borderId="0" xfId="0" applyFont="1" applyAlignment="1">
      <alignment vertical="center" wrapText="1"/>
    </xf>
    <xf numFmtId="0" fontId="16" fillId="5" borderId="13" xfId="0" applyFont="1" applyFill="1" applyBorder="1"/>
    <xf numFmtId="0" fontId="17" fillId="0" borderId="13" xfId="0" applyFont="1" applyBorder="1"/>
    <xf numFmtId="0" fontId="16" fillId="5" borderId="13" xfId="0" applyFont="1" applyFill="1" applyBorder="1" applyAlignment="1">
      <alignment horizontal="right"/>
    </xf>
    <xf numFmtId="10" fontId="18" fillId="0" borderId="13" xfId="0" applyNumberFormat="1" applyFont="1" applyBorder="1"/>
    <xf numFmtId="164" fontId="18" fillId="0" borderId="13" xfId="0" applyNumberFormat="1" applyFont="1" applyBorder="1" applyAlignment="1">
      <alignment vertical="center"/>
    </xf>
    <xf numFmtId="0" fontId="18" fillId="0" borderId="0" xfId="0" applyFont="1"/>
    <xf numFmtId="0" fontId="18" fillId="0" borderId="0" xfId="0" applyFont="1" applyAlignment="1">
      <alignment horizontal="right"/>
    </xf>
    <xf numFmtId="0" fontId="21" fillId="3" borderId="22" xfId="0" applyFont="1" applyFill="1" applyBorder="1"/>
    <xf numFmtId="0" fontId="21" fillId="0" borderId="13" xfId="0" applyFont="1" applyBorder="1"/>
    <xf numFmtId="2" fontId="18" fillId="0" borderId="22" xfId="0" applyNumberFormat="1" applyFont="1" applyBorder="1"/>
    <xf numFmtId="2" fontId="18" fillId="0" borderId="14" xfId="0" applyNumberFormat="1" applyFont="1" applyBorder="1"/>
    <xf numFmtId="0" fontId="21" fillId="3" borderId="13" xfId="0" applyFont="1" applyFill="1" applyBorder="1" applyAlignment="1">
      <alignment horizontal="center" vertical="center"/>
    </xf>
    <xf numFmtId="164" fontId="18" fillId="0" borderId="13" xfId="0" applyNumberFormat="1" applyFont="1" applyBorder="1" applyAlignment="1">
      <alignment horizontal="center" vertical="center"/>
    </xf>
    <xf numFmtId="0" fontId="0" fillId="0" borderId="13" xfId="0" applyBorder="1" applyAlignment="1">
      <alignment horizontal="center" vertical="center"/>
    </xf>
    <xf numFmtId="0" fontId="7" fillId="0" borderId="17" xfId="0" applyFont="1" applyBorder="1"/>
    <xf numFmtId="164" fontId="7" fillId="0" borderId="17" xfId="0" applyNumberFormat="1" applyFont="1" applyBorder="1"/>
    <xf numFmtId="0" fontId="2" fillId="0" borderId="17" xfId="0" applyFont="1" applyBorder="1"/>
    <xf numFmtId="0" fontId="7" fillId="0" borderId="13" xfId="0" applyFont="1" applyBorder="1"/>
    <xf numFmtId="0" fontId="2" fillId="0" borderId="13" xfId="0" applyFont="1" applyBorder="1"/>
    <xf numFmtId="164" fontId="2" fillId="0" borderId="13" xfId="0" applyNumberFormat="1" applyFont="1" applyBorder="1"/>
    <xf numFmtId="0" fontId="2" fillId="0" borderId="18" xfId="0" applyFont="1" applyBorder="1"/>
    <xf numFmtId="164" fontId="2" fillId="0" borderId="18" xfId="0" applyNumberFormat="1" applyFont="1" applyBorder="1"/>
    <xf numFmtId="164" fontId="7" fillId="0" borderId="18" xfId="0" applyNumberFormat="1" applyFont="1" applyBorder="1"/>
    <xf numFmtId="164" fontId="7" fillId="0" borderId="13" xfId="0" applyNumberFormat="1" applyFont="1" applyBorder="1"/>
    <xf numFmtId="0" fontId="21" fillId="5" borderId="18" xfId="0" applyFont="1" applyFill="1" applyBorder="1"/>
    <xf numFmtId="165" fontId="7" fillId="0" borderId="0" xfId="2" applyNumberFormat="1" applyFont="1"/>
    <xf numFmtId="0" fontId="17" fillId="0" borderId="31" xfId="0" applyFont="1" applyBorder="1" applyAlignment="1">
      <alignment wrapText="1"/>
    </xf>
    <xf numFmtId="168" fontId="17" fillId="0" borderId="31" xfId="0" applyNumberFormat="1" applyFont="1" applyBorder="1"/>
    <xf numFmtId="0" fontId="17" fillId="0" borderId="31" xfId="0" applyFont="1" applyBorder="1"/>
    <xf numFmtId="0" fontId="0" fillId="0" borderId="30" xfId="0" applyBorder="1"/>
    <xf numFmtId="44" fontId="0" fillId="0" borderId="30" xfId="7" applyFont="1" applyBorder="1"/>
    <xf numFmtId="0" fontId="0" fillId="0" borderId="30" xfId="0" applyBorder="1" applyAlignment="1">
      <alignment vertical="center"/>
    </xf>
    <xf numFmtId="44" fontId="0" fillId="0" borderId="30" xfId="7" applyFont="1" applyBorder="1" applyAlignment="1">
      <alignment vertical="center"/>
    </xf>
    <xf numFmtId="10" fontId="2" fillId="0" borderId="0" xfId="1" applyNumberFormat="1" applyFont="1" applyBorder="1"/>
    <xf numFmtId="9" fontId="2" fillId="0" borderId="0" xfId="1" applyFont="1"/>
    <xf numFmtId="0" fontId="0" fillId="0" borderId="30" xfId="0" applyBorder="1" applyAlignment="1">
      <alignment vertical="center" wrapText="1"/>
    </xf>
    <xf numFmtId="0" fontId="2" fillId="0" borderId="18" xfId="0" applyFont="1" applyBorder="1" applyAlignment="1">
      <alignment horizontal="left" vertical="center"/>
    </xf>
    <xf numFmtId="10" fontId="2" fillId="0" borderId="18" xfId="0" applyNumberFormat="1" applyFont="1" applyBorder="1" applyAlignment="1">
      <alignment vertical="center"/>
    </xf>
    <xf numFmtId="9" fontId="2" fillId="0" borderId="28" xfId="1" applyFont="1" applyBorder="1" applyAlignment="1">
      <alignment vertical="center"/>
    </xf>
    <xf numFmtId="0" fontId="2" fillId="0" borderId="30" xfId="0" applyFont="1" applyBorder="1" applyAlignment="1">
      <alignment horizontal="left" vertical="center"/>
    </xf>
    <xf numFmtId="10" fontId="2" fillId="0" borderId="30" xfId="0" applyNumberFormat="1" applyFont="1" applyBorder="1" applyAlignment="1">
      <alignment vertical="center"/>
    </xf>
    <xf numFmtId="164" fontId="2" fillId="0" borderId="14" xfId="2" applyNumberFormat="1" applyBorder="1" applyAlignment="1">
      <alignment wrapText="1"/>
    </xf>
    <xf numFmtId="0" fontId="23" fillId="4" borderId="30" xfId="0" applyFont="1" applyFill="1" applyBorder="1"/>
    <xf numFmtId="164" fontId="2" fillId="4" borderId="30" xfId="2" applyNumberFormat="1" applyFill="1" applyBorder="1"/>
    <xf numFmtId="9" fontId="2" fillId="0" borderId="20" xfId="1" applyFont="1" applyBorder="1" applyAlignment="1">
      <alignment vertical="center"/>
    </xf>
    <xf numFmtId="0" fontId="2" fillId="0" borderId="32" xfId="2" applyBorder="1"/>
    <xf numFmtId="0" fontId="2" fillId="0" borderId="33" xfId="2" applyBorder="1" applyAlignment="1">
      <alignment horizontal="center"/>
    </xf>
    <xf numFmtId="0" fontId="2" fillId="4" borderId="34" xfId="2" applyFill="1" applyBorder="1"/>
    <xf numFmtId="164" fontId="2" fillId="4" borderId="35" xfId="2" applyNumberFormat="1" applyFill="1" applyBorder="1"/>
    <xf numFmtId="0" fontId="2" fillId="0" borderId="36" xfId="2" applyBorder="1"/>
    <xf numFmtId="0" fontId="2" fillId="0" borderId="37" xfId="2" applyBorder="1"/>
    <xf numFmtId="164" fontId="2" fillId="0" borderId="10" xfId="2" applyNumberFormat="1" applyBorder="1" applyAlignment="1">
      <alignment wrapText="1"/>
    </xf>
    <xf numFmtId="164" fontId="2" fillId="0" borderId="11" xfId="2" applyNumberFormat="1" applyBorder="1" applyAlignment="1">
      <alignment vertical="center"/>
    </xf>
    <xf numFmtId="43" fontId="2" fillId="0" borderId="11" xfId="2" applyNumberFormat="1" applyBorder="1"/>
    <xf numFmtId="164" fontId="2" fillId="4" borderId="34" xfId="2" applyNumberFormat="1" applyFill="1" applyBorder="1"/>
    <xf numFmtId="43" fontId="2" fillId="4" borderId="35" xfId="2" applyNumberFormat="1" applyFill="1" applyBorder="1"/>
    <xf numFmtId="0" fontId="23" fillId="4" borderId="38" xfId="0" applyFont="1" applyFill="1" applyBorder="1"/>
    <xf numFmtId="164" fontId="2" fillId="4" borderId="39" xfId="2" applyNumberFormat="1" applyFill="1" applyBorder="1"/>
    <xf numFmtId="0" fontId="21" fillId="0" borderId="0" xfId="0" applyFont="1" applyAlignment="1">
      <alignment wrapText="1"/>
    </xf>
    <xf numFmtId="0" fontId="0" fillId="0" borderId="0" xfId="0" applyAlignment="1">
      <alignment horizontal="center"/>
    </xf>
    <xf numFmtId="0" fontId="7" fillId="0" borderId="0" xfId="0" applyFont="1" applyAlignment="1">
      <alignment horizontal="center" vertical="top"/>
    </xf>
    <xf numFmtId="0" fontId="13" fillId="0" borderId="30" xfId="2" applyFont="1" applyBorder="1"/>
    <xf numFmtId="164" fontId="13" fillId="0" borderId="30" xfId="2" applyNumberFormat="1" applyFont="1" applyBorder="1"/>
    <xf numFmtId="167" fontId="13" fillId="0" borderId="0" xfId="1" applyNumberFormat="1" applyFont="1"/>
    <xf numFmtId="164" fontId="13" fillId="0" borderId="30" xfId="1" applyNumberFormat="1" applyFont="1" applyBorder="1"/>
    <xf numFmtId="10" fontId="13" fillId="0" borderId="30" xfId="1" applyNumberFormat="1" applyFont="1" applyBorder="1"/>
    <xf numFmtId="0" fontId="14" fillId="0" borderId="30" xfId="2" applyFont="1" applyBorder="1"/>
    <xf numFmtId="9" fontId="13" fillId="0" borderId="0" xfId="2" applyNumberFormat="1" applyFont="1"/>
    <xf numFmtId="10" fontId="13" fillId="0" borderId="0" xfId="2" applyNumberFormat="1" applyFont="1"/>
    <xf numFmtId="0" fontId="13" fillId="0" borderId="30" xfId="0" applyFont="1" applyBorder="1"/>
    <xf numFmtId="0" fontId="14" fillId="0" borderId="30" xfId="0" applyFont="1" applyBorder="1" applyAlignment="1">
      <alignment wrapText="1"/>
    </xf>
    <xf numFmtId="0" fontId="14" fillId="0" borderId="30" xfId="0" applyFont="1" applyBorder="1"/>
    <xf numFmtId="0" fontId="13" fillId="0" borderId="30" xfId="0" applyFont="1" applyBorder="1" applyAlignment="1">
      <alignment horizontal="center" wrapText="1"/>
    </xf>
    <xf numFmtId="0" fontId="13" fillId="0" borderId="30" xfId="0" applyFont="1" applyBorder="1" applyAlignment="1">
      <alignment horizontal="center"/>
    </xf>
    <xf numFmtId="0" fontId="10" fillId="0" borderId="0" xfId="4" applyFont="1" applyAlignment="1">
      <alignment horizontal="left" vertical="top" wrapText="1"/>
    </xf>
    <xf numFmtId="0" fontId="7" fillId="0" borderId="15" xfId="0" applyFont="1" applyBorder="1"/>
    <xf numFmtId="0" fontId="7" fillId="0" borderId="26" xfId="0" applyFont="1" applyBorder="1"/>
    <xf numFmtId="0" fontId="7" fillId="0" borderId="16" xfId="0" applyFont="1" applyBorder="1"/>
    <xf numFmtId="0" fontId="25" fillId="0" borderId="18" xfId="0" applyFont="1" applyBorder="1" applyAlignment="1">
      <alignment vertical="center" wrapText="1"/>
    </xf>
    <xf numFmtId="0" fontId="25" fillId="0" borderId="22" xfId="0" applyFont="1" applyBorder="1" applyAlignment="1">
      <alignment vertical="center" wrapText="1"/>
    </xf>
    <xf numFmtId="0" fontId="25" fillId="0" borderId="17" xfId="0" applyFont="1" applyBorder="1" applyAlignment="1">
      <alignment vertical="center" wrapText="1"/>
    </xf>
    <xf numFmtId="0" fontId="21" fillId="0" borderId="15" xfId="0" applyFont="1" applyBorder="1"/>
    <xf numFmtId="0" fontId="21" fillId="0" borderId="26" xfId="0" applyFont="1" applyBorder="1"/>
    <xf numFmtId="0" fontId="21" fillId="0" borderId="16" xfId="0" applyFont="1" applyBorder="1"/>
    <xf numFmtId="0" fontId="21" fillId="2" borderId="15" xfId="0" applyFont="1" applyFill="1" applyBorder="1"/>
    <xf numFmtId="0" fontId="21" fillId="2" borderId="26" xfId="0" applyFont="1" applyFill="1" applyBorder="1"/>
    <xf numFmtId="0" fontId="21" fillId="2" borderId="16" xfId="0" applyFont="1" applyFill="1" applyBorder="1"/>
    <xf numFmtId="0" fontId="21" fillId="5" borderId="25" xfId="0" applyFont="1" applyFill="1" applyBorder="1"/>
    <xf numFmtId="0" fontId="21" fillId="5" borderId="24" xfId="0" applyFont="1" applyFill="1" applyBorder="1"/>
    <xf numFmtId="0" fontId="21" fillId="5" borderId="27" xfId="0" applyFont="1" applyFill="1" applyBorder="1"/>
    <xf numFmtId="0" fontId="25" fillId="0" borderId="18" xfId="0" applyFont="1" applyBorder="1" applyAlignment="1">
      <alignment horizontal="left" vertical="center" wrapText="1"/>
    </xf>
    <xf numFmtId="0" fontId="25" fillId="0" borderId="17" xfId="0" applyFont="1" applyBorder="1" applyAlignment="1">
      <alignment horizontal="left" vertical="center" wrapText="1"/>
    </xf>
    <xf numFmtId="0" fontId="25" fillId="0" borderId="13" xfId="0" applyFont="1" applyBorder="1" applyAlignment="1">
      <alignment vertical="center" wrapText="1"/>
    </xf>
    <xf numFmtId="0" fontId="25" fillId="0" borderId="13" xfId="0" applyFont="1" applyBorder="1" applyAlignment="1">
      <alignment vertical="center"/>
    </xf>
    <xf numFmtId="0" fontId="25" fillId="0" borderId="13" xfId="0" applyFont="1" applyBorder="1" applyAlignment="1">
      <alignment horizontal="left" vertical="center" wrapText="1"/>
    </xf>
    <xf numFmtId="164" fontId="0" fillId="0" borderId="15" xfId="0" applyNumberFormat="1" applyBorder="1" applyAlignment="1">
      <alignment vertical="center"/>
    </xf>
    <xf numFmtId="164" fontId="0" fillId="0" borderId="16" xfId="0" applyNumberFormat="1" applyBorder="1" applyAlignment="1">
      <alignment vertical="center"/>
    </xf>
    <xf numFmtId="2" fontId="18" fillId="0" borderId="15" xfId="0" applyNumberFormat="1" applyFont="1" applyBorder="1" applyAlignment="1">
      <alignment horizontal="center" vertical="center"/>
    </xf>
    <xf numFmtId="2" fontId="18" fillId="0" borderId="16" xfId="0" applyNumberFormat="1" applyFont="1" applyBorder="1" applyAlignment="1">
      <alignment horizontal="center" vertical="center"/>
    </xf>
    <xf numFmtId="0" fontId="25" fillId="0" borderId="22" xfId="0" applyFont="1" applyBorder="1" applyAlignment="1">
      <alignment horizontal="left" vertical="center" wrapText="1"/>
    </xf>
    <xf numFmtId="0" fontId="21" fillId="5" borderId="15" xfId="0" applyFont="1" applyFill="1" applyBorder="1"/>
    <xf numFmtId="0" fontId="21" fillId="5" borderId="26" xfId="0" applyFont="1" applyFill="1" applyBorder="1"/>
    <xf numFmtId="0" fontId="21" fillId="5" borderId="16" xfId="0" applyFont="1" applyFill="1" applyBorder="1"/>
    <xf numFmtId="0" fontId="2" fillId="0" borderId="28" xfId="0" applyFont="1" applyBorder="1" applyAlignment="1">
      <alignment horizontal="center"/>
    </xf>
    <xf numFmtId="0" fontId="2" fillId="0" borderId="23" xfId="0" applyFont="1" applyBorder="1" applyAlignment="1">
      <alignment horizontal="center"/>
    </xf>
    <xf numFmtId="0" fontId="2" fillId="0" borderId="29" xfId="0" applyFont="1" applyBorder="1" applyAlignment="1">
      <alignment horizontal="center"/>
    </xf>
    <xf numFmtId="0" fontId="2" fillId="0" borderId="25" xfId="0" applyFont="1" applyBorder="1" applyAlignment="1">
      <alignment horizontal="center"/>
    </xf>
    <xf numFmtId="0" fontId="2" fillId="0" borderId="24" xfId="0" applyFont="1" applyBorder="1" applyAlignment="1">
      <alignment horizontal="center"/>
    </xf>
    <xf numFmtId="0" fontId="2" fillId="0" borderId="27" xfId="0" applyFont="1" applyBorder="1" applyAlignment="1">
      <alignment horizontal="center"/>
    </xf>
    <xf numFmtId="0" fontId="2" fillId="0" borderId="28" xfId="0" applyFont="1" applyBorder="1"/>
    <xf numFmtId="0" fontId="2" fillId="0" borderId="23" xfId="0" applyFont="1" applyBorder="1"/>
    <xf numFmtId="0" fontId="2" fillId="0" borderId="29" xfId="0" applyFont="1" applyBorder="1"/>
    <xf numFmtId="0" fontId="2" fillId="0" borderId="25" xfId="0" applyFont="1" applyBorder="1"/>
    <xf numFmtId="0" fontId="2" fillId="0" borderId="24" xfId="0" applyFont="1" applyBorder="1"/>
    <xf numFmtId="0" fontId="2" fillId="0" borderId="27" xfId="0" applyFont="1" applyBorder="1"/>
    <xf numFmtId="0" fontId="22" fillId="0" borderId="15" xfId="0" applyFont="1" applyBorder="1" applyAlignment="1">
      <alignment wrapText="1"/>
    </xf>
    <xf numFmtId="0" fontId="0" fillId="0" borderId="26" xfId="0" applyBorder="1" applyAlignment="1">
      <alignment wrapText="1"/>
    </xf>
    <xf numFmtId="0" fontId="0" fillId="0" borderId="16" xfId="0" applyBorder="1" applyAlignment="1">
      <alignment wrapText="1"/>
    </xf>
    <xf numFmtId="2" fontId="13" fillId="0" borderId="30" xfId="2" applyNumberFormat="1" applyFont="1" applyBorder="1"/>
    <xf numFmtId="167" fontId="13" fillId="0" borderId="30" xfId="1" applyNumberFormat="1" applyFont="1" applyBorder="1"/>
    <xf numFmtId="0" fontId="13" fillId="0" borderId="30" xfId="1" applyNumberFormat="1" applyFont="1" applyBorder="1"/>
  </cellXfs>
  <cellStyles count="8">
    <cellStyle name="Migliaia [0] 2" xfId="5" xr:uid="{BE3F0B1B-84D4-204C-B5E8-54D8B056E307}"/>
    <cellStyle name="Normal 2" xfId="2" xr:uid="{5E3D7459-6DDF-C54F-A2EE-E447AC37081C}"/>
    <cellStyle name="Normale" xfId="0" builtinId="0"/>
    <cellStyle name="Normale 2" xfId="4" xr:uid="{3483A41B-82A0-E840-AA15-78EFAE6A58F6}"/>
    <cellStyle name="Normale_Operazioni finanziarie" xfId="6" xr:uid="{2DF9F59A-4D5E-A344-AF36-EF495AF5C5DF}"/>
    <cellStyle name="Per cent 2" xfId="3" xr:uid="{3B4BD954-1467-034E-AAC0-F5853A310D5F}"/>
    <cellStyle name="Percentuale" xfId="1" builtinId="5"/>
    <cellStyle name="Valuta" xfId="7"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Profitability Comparison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t-CH"/>
        </a:p>
      </c:txPr>
    </c:title>
    <c:autoTitleDeleted val="0"/>
    <c:plotArea>
      <c:layout/>
      <c:barChart>
        <c:barDir val="col"/>
        <c:grouping val="clustered"/>
        <c:varyColors val="0"/>
        <c:ser>
          <c:idx val="0"/>
          <c:order val="0"/>
          <c:tx>
            <c:v>Banco BPM</c:v>
          </c:tx>
          <c:spPr>
            <a:solidFill>
              <a:srgbClr val="153D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C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Solutions!$A$10:$A$11</c:f>
              <c:strCache>
                <c:ptCount val="2"/>
                <c:pt idx="0">
                  <c:v>ROE</c:v>
                </c:pt>
                <c:pt idx="1">
                  <c:v>ROA</c:v>
                </c:pt>
              </c:strCache>
            </c:strRef>
          </c:cat>
          <c:val>
            <c:numRef>
              <c:f>Solutions!$B$10:$B$11</c:f>
              <c:numCache>
                <c:formatCode>0.00%</c:formatCode>
                <c:ptCount val="2"/>
                <c:pt idx="0">
                  <c:v>9.0072559366754609E-2</c:v>
                </c:pt>
                <c:pt idx="1">
                  <c:v>6.2555813473408285E-3</c:v>
                </c:pt>
              </c:numCache>
            </c:numRef>
          </c:val>
          <c:extLst>
            <c:ext xmlns:c16="http://schemas.microsoft.com/office/drawing/2014/chart" uri="{C3380CC4-5D6E-409C-BE32-E72D297353CC}">
              <c16:uniqueId val="{00000001-90FF-4F43-91C1-85A281A357F6}"/>
            </c:ext>
          </c:extLst>
        </c:ser>
        <c:ser>
          <c:idx val="1"/>
          <c:order val="1"/>
          <c:tx>
            <c:v>UniCredit</c:v>
          </c:tx>
          <c:spPr>
            <a:solidFill>
              <a:srgbClr val="7E35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C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Solutions!$A$10:$A$11</c:f>
              <c:strCache>
                <c:ptCount val="2"/>
                <c:pt idx="0">
                  <c:v>ROE</c:v>
                </c:pt>
                <c:pt idx="1">
                  <c:v>ROA</c:v>
                </c:pt>
              </c:strCache>
            </c:strRef>
          </c:cat>
          <c:val>
            <c:numRef>
              <c:f>Solutions!$C$10:$C$11</c:f>
              <c:numCache>
                <c:formatCode>0.00%</c:formatCode>
                <c:ptCount val="2"/>
                <c:pt idx="0">
                  <c:v>0.14798729802932661</c:v>
                </c:pt>
                <c:pt idx="1">
                  <c:v>1.2111244590578274E-2</c:v>
                </c:pt>
              </c:numCache>
            </c:numRef>
          </c:val>
          <c:extLst>
            <c:ext xmlns:c16="http://schemas.microsoft.com/office/drawing/2014/chart" uri="{C3380CC4-5D6E-409C-BE32-E72D297353CC}">
              <c16:uniqueId val="{00000003-90FF-4F43-91C1-85A281A357F6}"/>
            </c:ext>
          </c:extLst>
        </c:ser>
        <c:dLbls>
          <c:showLegendKey val="0"/>
          <c:showVal val="0"/>
          <c:showCatName val="0"/>
          <c:showSerName val="0"/>
          <c:showPercent val="0"/>
          <c:showBubbleSize val="0"/>
        </c:dLbls>
        <c:gapWidth val="219"/>
        <c:overlap val="-27"/>
        <c:axId val="1715826695"/>
        <c:axId val="1715828743"/>
      </c:barChart>
      <c:catAx>
        <c:axId val="1715826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CH"/>
          </a:p>
        </c:txPr>
        <c:crossAx val="1715828743"/>
        <c:crosses val="autoZero"/>
        <c:auto val="1"/>
        <c:lblAlgn val="ctr"/>
        <c:lblOffset val="100"/>
        <c:noMultiLvlLbl val="0"/>
      </c:catAx>
      <c:valAx>
        <c:axId val="1715828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CH"/>
          </a:p>
        </c:txPr>
        <c:crossAx val="1715826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C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C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Expense Management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Banco BPM</c:v>
          </c:tx>
          <c:spPr>
            <a:solidFill>
              <a:srgbClr val="153D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Solutions!$A$16:$A$18</c:f>
              <c:strCache>
                <c:ptCount val="3"/>
                <c:pt idx="0">
                  <c:v>        Provision for Loss Ratio</c:v>
                </c:pt>
                <c:pt idx="1">
                  <c:v>        Noninterest Expense Ratio</c:v>
                </c:pt>
                <c:pt idx="2">
                  <c:v>        Tax Ratio</c:v>
                </c:pt>
              </c:strCache>
            </c:strRef>
          </c:cat>
          <c:val>
            <c:numRef>
              <c:f>Solutions!$B$16:$B$18</c:f>
              <c:numCache>
                <c:formatCode>0.00%</c:formatCode>
                <c:ptCount val="3"/>
                <c:pt idx="0">
                  <c:v>0.10457737816866682</c:v>
                </c:pt>
                <c:pt idx="1">
                  <c:v>0.48136121294586742</c:v>
                </c:pt>
                <c:pt idx="2">
                  <c:v>0.11321867765296338</c:v>
                </c:pt>
              </c:numCache>
            </c:numRef>
          </c:val>
          <c:extLst>
            <c:ext xmlns:c16="http://schemas.microsoft.com/office/drawing/2014/chart" uri="{C3380CC4-5D6E-409C-BE32-E72D297353CC}">
              <c16:uniqueId val="{00000001-5B36-43AF-8944-8949EAF85888}"/>
            </c:ext>
          </c:extLst>
        </c:ser>
        <c:ser>
          <c:idx val="1"/>
          <c:order val="1"/>
          <c:tx>
            <c:v>UniCredit</c:v>
          </c:tx>
          <c:spPr>
            <a:solidFill>
              <a:srgbClr val="7E35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Solutions!$A$16:$A$18</c:f>
              <c:strCache>
                <c:ptCount val="3"/>
                <c:pt idx="0">
                  <c:v>        Provision for Loss Ratio</c:v>
                </c:pt>
                <c:pt idx="1">
                  <c:v>        Noninterest Expense Ratio</c:v>
                </c:pt>
                <c:pt idx="2">
                  <c:v>        Tax Ratio</c:v>
                </c:pt>
              </c:strCache>
            </c:strRef>
          </c:cat>
          <c:val>
            <c:numRef>
              <c:f>Solutions!$C$16:$C$18</c:f>
              <c:numCache>
                <c:formatCode>0.00%</c:formatCode>
                <c:ptCount val="3"/>
                <c:pt idx="0">
                  <c:v>2.2982721019963095E-2</c:v>
                </c:pt>
                <c:pt idx="1">
                  <c:v>0.39720684448917964</c:v>
                </c:pt>
                <c:pt idx="2">
                  <c:v>8.0271766482133869E-2</c:v>
                </c:pt>
              </c:numCache>
            </c:numRef>
          </c:val>
          <c:extLst>
            <c:ext xmlns:c16="http://schemas.microsoft.com/office/drawing/2014/chart" uri="{C3380CC4-5D6E-409C-BE32-E72D297353CC}">
              <c16:uniqueId val="{00000003-5B36-43AF-8944-8949EAF85888}"/>
            </c:ext>
          </c:extLst>
        </c:ser>
        <c:dLbls>
          <c:showLegendKey val="0"/>
          <c:showVal val="0"/>
          <c:showCatName val="0"/>
          <c:showSerName val="0"/>
          <c:showPercent val="0"/>
          <c:showBubbleSize val="0"/>
        </c:dLbls>
        <c:gapWidth val="219"/>
        <c:overlap val="-27"/>
        <c:axId val="1929691143"/>
        <c:axId val="215479303"/>
      </c:barChart>
      <c:catAx>
        <c:axId val="1929691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79303"/>
        <c:crosses val="autoZero"/>
        <c:auto val="1"/>
        <c:lblAlgn val="ctr"/>
        <c:lblOffset val="100"/>
        <c:noMultiLvlLbl val="0"/>
      </c:catAx>
      <c:valAx>
        <c:axId val="215479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691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risk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Banco BPM</c:v>
          </c:tx>
          <c:spPr>
            <a:solidFill>
              <a:srgbClr val="153D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Solutions!$B$67:$C$67</c:f>
              <c:numCache>
                <c:formatCode>0%</c:formatCode>
                <c:ptCount val="2"/>
                <c:pt idx="0" formatCode="0.00%">
                  <c:v>1.87</c:v>
                </c:pt>
                <c:pt idx="1">
                  <c:v>1.54</c:v>
                </c:pt>
              </c:numCache>
            </c:numRef>
          </c:val>
          <c:extLst>
            <c:ext xmlns:c16="http://schemas.microsoft.com/office/drawing/2014/chart" uri="{C3380CC4-5D6E-409C-BE32-E72D297353CC}">
              <c16:uniqueId val="{00000001-6DCB-4C4B-B33B-F9109E090C83}"/>
            </c:ext>
          </c:extLst>
        </c:ser>
        <c:ser>
          <c:idx val="1"/>
          <c:order val="1"/>
          <c:tx>
            <c:v>UniCredit</c:v>
          </c:tx>
          <c:spPr>
            <a:solidFill>
              <a:srgbClr val="7E35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Solutions!$B$68:$C$68</c:f>
              <c:numCache>
                <c:formatCode>0%</c:formatCode>
                <c:ptCount val="2"/>
                <c:pt idx="0" formatCode="0.00%">
                  <c:v>1.29</c:v>
                </c:pt>
                <c:pt idx="1">
                  <c:v>1.3</c:v>
                </c:pt>
              </c:numCache>
            </c:numRef>
          </c:val>
          <c:extLst>
            <c:ext xmlns:c16="http://schemas.microsoft.com/office/drawing/2014/chart" uri="{C3380CC4-5D6E-409C-BE32-E72D297353CC}">
              <c16:uniqueId val="{00000003-6DCB-4C4B-B33B-F9109E090C83}"/>
            </c:ext>
          </c:extLst>
        </c:ser>
        <c:dLbls>
          <c:showLegendKey val="0"/>
          <c:showVal val="0"/>
          <c:showCatName val="0"/>
          <c:showSerName val="0"/>
          <c:showPercent val="0"/>
          <c:showBubbleSize val="0"/>
        </c:dLbls>
        <c:gapWidth val="219"/>
        <c:overlap val="-27"/>
        <c:axId val="279774728"/>
        <c:axId val="279776776"/>
      </c:barChart>
      <c:catAx>
        <c:axId val="2797747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79776776"/>
        <c:crosses val="autoZero"/>
        <c:auto val="1"/>
        <c:lblAlgn val="ctr"/>
        <c:lblOffset val="100"/>
        <c:noMultiLvlLbl val="0"/>
      </c:catAx>
      <c:valAx>
        <c:axId val="279776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774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 Utilization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    Banco BPM</c:v>
          </c:tx>
          <c:spPr>
            <a:solidFill>
              <a:srgbClr val="153D64"/>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FB-F449-BDDC-541B1B95874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FB-F449-BDDC-541B1B9587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Solutions!$B$13:$C$13</c:f>
              <c:numCache>
                <c:formatCode>0.00%</c:formatCode>
                <c:ptCount val="2"/>
                <c:pt idx="0">
                  <c:v>2.6425517550358053E-2</c:v>
                </c:pt>
                <c:pt idx="1">
                  <c:v>3.0375567057720456E-2</c:v>
                </c:pt>
              </c:numCache>
            </c:numRef>
          </c:val>
          <c:extLst>
            <c:ext xmlns:c16="http://schemas.microsoft.com/office/drawing/2014/chart" uri="{C3380CC4-5D6E-409C-BE32-E72D297353CC}">
              <c16:uniqueId val="{00000000-EC5B-7B41-948B-10E0C60CAB30}"/>
            </c:ext>
          </c:extLst>
        </c:ser>
        <c:ser>
          <c:idx val="1"/>
          <c:order val="1"/>
          <c:tx>
            <c:v>UniCredit</c:v>
          </c:tx>
          <c:spPr>
            <a:solidFill>
              <a:srgbClr val="7E35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Solutions!$B$19:$C$19</c:f>
              <c:numCache>
                <c:formatCode>0.00%</c:formatCode>
                <c:ptCount val="2"/>
                <c:pt idx="0">
                  <c:v>1.9339981760997833E-2</c:v>
                </c:pt>
                <c:pt idx="1">
                  <c:v>2.0362823198933368E-2</c:v>
                </c:pt>
              </c:numCache>
            </c:numRef>
          </c:val>
          <c:extLst>
            <c:ext xmlns:c16="http://schemas.microsoft.com/office/drawing/2014/chart" uri="{C3380CC4-5D6E-409C-BE32-E72D297353CC}">
              <c16:uniqueId val="{00000001-EC5B-7B41-948B-10E0C60CAB30}"/>
            </c:ext>
          </c:extLst>
        </c:ser>
        <c:dLbls>
          <c:showLegendKey val="0"/>
          <c:showVal val="0"/>
          <c:showCatName val="0"/>
          <c:showSerName val="0"/>
          <c:showPercent val="0"/>
          <c:showBubbleSize val="0"/>
        </c:dLbls>
        <c:gapWidth val="219"/>
        <c:overlap val="-27"/>
        <c:axId val="1889874951"/>
        <c:axId val="254553607"/>
      </c:barChart>
      <c:catAx>
        <c:axId val="18898749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4553607"/>
        <c:crosses val="autoZero"/>
        <c:auto val="0"/>
        <c:lblAlgn val="ctr"/>
        <c:lblOffset val="100"/>
        <c:noMultiLvlLbl val="0"/>
      </c:catAx>
      <c:valAx>
        <c:axId val="254553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74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2200275</xdr:colOff>
      <xdr:row>0</xdr:row>
      <xdr:rowOff>161925</xdr:rowOff>
    </xdr:from>
    <xdr:to>
      <xdr:col>6</xdr:col>
      <xdr:colOff>1704975</xdr:colOff>
      <xdr:row>12</xdr:row>
      <xdr:rowOff>152400</xdr:rowOff>
    </xdr:to>
    <xdr:graphicFrame macro="">
      <xdr:nvGraphicFramePr>
        <xdr:cNvPr id="3" name="Grafico 2">
          <a:extLst>
            <a:ext uri="{FF2B5EF4-FFF2-40B4-BE49-F238E27FC236}">
              <a16:creationId xmlns:a16="http://schemas.microsoft.com/office/drawing/2014/main" id="{137B9A41-5732-A2E3-D638-06A8E67FA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2000250</xdr:colOff>
      <xdr:row>0</xdr:row>
      <xdr:rowOff>171450</xdr:rowOff>
    </xdr:from>
    <xdr:to>
      <xdr:col>8</xdr:col>
      <xdr:colOff>542925</xdr:colOff>
      <xdr:row>12</xdr:row>
      <xdr:rowOff>123825</xdr:rowOff>
    </xdr:to>
    <xdr:graphicFrame macro="">
      <xdr:nvGraphicFramePr>
        <xdr:cNvPr id="57" name="Grafico 3">
          <a:extLst>
            <a:ext uri="{FF2B5EF4-FFF2-40B4-BE49-F238E27FC236}">
              <a16:creationId xmlns:a16="http://schemas.microsoft.com/office/drawing/2014/main" id="{BE6F8BE5-D8CB-8740-E418-3F0C54F90FE1}"/>
            </a:ext>
            <a:ext uri="{147F2762-F138-4A5C-976F-8EAC2B608ADB}">
              <a16:predDERef xmlns:a16="http://schemas.microsoft.com/office/drawing/2014/main" pred="{137B9A41-5732-A2E3-D638-06A8E67FA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333375</xdr:colOff>
      <xdr:row>58</xdr:row>
      <xdr:rowOff>123825</xdr:rowOff>
    </xdr:from>
    <xdr:to>
      <xdr:col>6</xdr:col>
      <xdr:colOff>962025</xdr:colOff>
      <xdr:row>67</xdr:row>
      <xdr:rowOff>819150</xdr:rowOff>
    </xdr:to>
    <xdr:graphicFrame macro="">
      <xdr:nvGraphicFramePr>
        <xdr:cNvPr id="37" name="Grafico 1">
          <a:extLst>
            <a:ext uri="{FF2B5EF4-FFF2-40B4-BE49-F238E27FC236}">
              <a16:creationId xmlns:a16="http://schemas.microsoft.com/office/drawing/2014/main" id="{8D72FC1F-5CE6-8B26-725B-2FC7F9648D0A}"/>
            </a:ext>
            <a:ext uri="{147F2762-F138-4A5C-976F-8EAC2B608ADB}">
              <a16:predDERef xmlns:a16="http://schemas.microsoft.com/office/drawing/2014/main" pred="{2D85D57D-4F77-71FC-AC65-17F9AAC03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15118</xdr:colOff>
      <xdr:row>0</xdr:row>
      <xdr:rowOff>166309</xdr:rowOff>
    </xdr:from>
    <xdr:to>
      <xdr:col>10</xdr:col>
      <xdr:colOff>1430897</xdr:colOff>
      <xdr:row>12</xdr:row>
      <xdr:rowOff>109189</xdr:rowOff>
    </xdr:to>
    <xdr:graphicFrame macro="">
      <xdr:nvGraphicFramePr>
        <xdr:cNvPr id="41" name="Grafico 5" descr="asset">
          <a:extLst>
            <a:ext uri="{FF2B5EF4-FFF2-40B4-BE49-F238E27FC236}">
              <a16:creationId xmlns:a16="http://schemas.microsoft.com/office/drawing/2014/main" id="{4A0A986C-4BF4-CD4F-A09F-60D50027E3CF}"/>
            </a:ext>
            <a:ext uri="{147F2762-F138-4A5C-976F-8EAC2B608ADB}">
              <a16:predDERef xmlns:a16="http://schemas.microsoft.com/office/drawing/2014/main" pred="{BE6F8BE5-D8CB-8740-E418-3F0C54F90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729574</xdr:colOff>
      <xdr:row>11</xdr:row>
      <xdr:rowOff>54042</xdr:rowOff>
    </xdr:from>
    <xdr:to>
      <xdr:col>9</xdr:col>
      <xdr:colOff>1986064</xdr:colOff>
      <xdr:row>12</xdr:row>
      <xdr:rowOff>67552</xdr:rowOff>
    </xdr:to>
    <xdr:sp macro="" textlink="">
      <xdr:nvSpPr>
        <xdr:cNvPr id="92" name="CasellaDiTesto 41">
          <a:extLst>
            <a:ext uri="{FF2B5EF4-FFF2-40B4-BE49-F238E27FC236}">
              <a16:creationId xmlns:a16="http://schemas.microsoft.com/office/drawing/2014/main" id="{A9A1DBF4-20A1-0E37-0D45-9AE99B044AA6}"/>
            </a:ext>
            <a:ext uri="{147F2762-F138-4A5C-976F-8EAC2B608ADB}">
              <a16:predDERef xmlns:a16="http://schemas.microsoft.com/office/drawing/2014/main" pred="{4A0A986C-4BF4-CD4F-A09F-60D50027E3CF}"/>
            </a:ext>
          </a:extLst>
        </xdr:cNvPr>
        <xdr:cNvSpPr txBox="1"/>
      </xdr:nvSpPr>
      <xdr:spPr>
        <a:xfrm>
          <a:off x="21617021" y="3039893"/>
          <a:ext cx="1256490" cy="216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800" b="1" i="0" u="none" strike="noStrike">
              <a:solidFill>
                <a:schemeClr val="bg1">
                  <a:lumMod val="50000"/>
                </a:schemeClr>
              </a:solidFill>
              <a:latin typeface="Aptos Narrow" panose="020B0004020202020204" pitchFamily="34" charset="0"/>
            </a:rPr>
            <a:t>Asset Utilization</a:t>
          </a:r>
        </a:p>
      </xdr:txBody>
    </xdr:sp>
    <xdr:clientData/>
  </xdr:twoCellAnchor>
  <xdr:twoCellAnchor>
    <xdr:from>
      <xdr:col>9</xdr:col>
      <xdr:colOff>2516762</xdr:colOff>
      <xdr:row>11</xdr:row>
      <xdr:rowOff>44314</xdr:rowOff>
    </xdr:from>
    <xdr:to>
      <xdr:col>10</xdr:col>
      <xdr:colOff>1057614</xdr:colOff>
      <xdr:row>12</xdr:row>
      <xdr:rowOff>57824</xdr:rowOff>
    </xdr:to>
    <xdr:sp macro="" textlink="">
      <xdr:nvSpPr>
        <xdr:cNvPr id="44" name="CasellaDiTesto 42">
          <a:extLst>
            <a:ext uri="{FF2B5EF4-FFF2-40B4-BE49-F238E27FC236}">
              <a16:creationId xmlns:a16="http://schemas.microsoft.com/office/drawing/2014/main" id="{6D0919C0-3C65-A94C-AEE2-292FDB44725C}"/>
            </a:ext>
            <a:ext uri="{147F2762-F138-4A5C-976F-8EAC2B608ADB}">
              <a16:predDERef xmlns:a16="http://schemas.microsoft.com/office/drawing/2014/main" pred="{A9A1DBF4-20A1-0E37-0D45-9AE99B044AA6}"/>
            </a:ext>
          </a:extLst>
        </xdr:cNvPr>
        <xdr:cNvSpPr txBox="1"/>
      </xdr:nvSpPr>
      <xdr:spPr>
        <a:xfrm>
          <a:off x="23404209" y="3030165"/>
          <a:ext cx="1256490" cy="216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800" b="1" i="0" u="none" strike="noStrike">
              <a:solidFill>
                <a:schemeClr val="bg1">
                  <a:lumMod val="50000"/>
                </a:schemeClr>
              </a:solidFill>
              <a:latin typeface="Aptos Narrow" panose="020B0004020202020204" pitchFamily="34" charset="0"/>
            </a:rPr>
            <a:t>Profit margin</a:t>
          </a:r>
        </a:p>
      </xdr:txBody>
    </xdr:sp>
    <xdr:clientData/>
  </xdr:twoCellAnchor>
  <xdr:twoCellAnchor>
    <xdr:from>
      <xdr:col>4</xdr:col>
      <xdr:colOff>1562100</xdr:colOff>
      <xdr:row>67</xdr:row>
      <xdr:rowOff>581025</xdr:rowOff>
    </xdr:from>
    <xdr:to>
      <xdr:col>5</xdr:col>
      <xdr:colOff>408765</xdr:colOff>
      <xdr:row>67</xdr:row>
      <xdr:rowOff>794560</xdr:rowOff>
    </xdr:to>
    <xdr:sp macro="" textlink="">
      <xdr:nvSpPr>
        <xdr:cNvPr id="7" name="CasellaDiTesto 1">
          <a:extLst>
            <a:ext uri="{FF2B5EF4-FFF2-40B4-BE49-F238E27FC236}">
              <a16:creationId xmlns:a16="http://schemas.microsoft.com/office/drawing/2014/main" id="{B8F72881-56B6-4D9E-B435-0B36EF7C6CFF}"/>
            </a:ext>
            <a:ext uri="{147F2762-F138-4A5C-976F-8EAC2B608ADB}">
              <a16:predDERef xmlns:a16="http://schemas.microsoft.com/office/drawing/2014/main" pred="{6D0919C0-3C65-A94C-AEE2-292FDB44725C}"/>
            </a:ext>
          </a:extLst>
        </xdr:cNvPr>
        <xdr:cNvSpPr txBox="1"/>
      </xdr:nvSpPr>
      <xdr:spPr>
        <a:xfrm>
          <a:off x="11906250" y="19564350"/>
          <a:ext cx="1256490" cy="213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800" b="1" i="0" u="none" strike="noStrike">
              <a:solidFill>
                <a:schemeClr val="bg1">
                  <a:lumMod val="50000"/>
                </a:schemeClr>
              </a:solidFill>
              <a:latin typeface="Aptos Narrow" panose="020B0004020202020204" pitchFamily="34" charset="0"/>
            </a:rPr>
            <a:t>Liquid coverage ratio</a:t>
          </a:r>
        </a:p>
      </xdr:txBody>
    </xdr:sp>
    <xdr:clientData/>
  </xdr:twoCellAnchor>
  <xdr:twoCellAnchor>
    <xdr:from>
      <xdr:col>5</xdr:col>
      <xdr:colOff>1162050</xdr:colOff>
      <xdr:row>67</xdr:row>
      <xdr:rowOff>581025</xdr:rowOff>
    </xdr:from>
    <xdr:to>
      <xdr:col>6</xdr:col>
      <xdr:colOff>275415</xdr:colOff>
      <xdr:row>67</xdr:row>
      <xdr:rowOff>794560</xdr:rowOff>
    </xdr:to>
    <xdr:sp macro="" textlink="">
      <xdr:nvSpPr>
        <xdr:cNvPr id="11" name="CasellaDiTesto 2">
          <a:extLst>
            <a:ext uri="{FF2B5EF4-FFF2-40B4-BE49-F238E27FC236}">
              <a16:creationId xmlns:a16="http://schemas.microsoft.com/office/drawing/2014/main" id="{8859A337-27B6-48B5-87D3-1B94091FC14E}"/>
            </a:ext>
            <a:ext uri="{147F2762-F138-4A5C-976F-8EAC2B608ADB}">
              <a16:predDERef xmlns:a16="http://schemas.microsoft.com/office/drawing/2014/main" pred="{B8F72881-56B6-4D9E-B435-0B36EF7C6CFF}"/>
            </a:ext>
          </a:extLst>
        </xdr:cNvPr>
        <xdr:cNvSpPr txBox="1"/>
      </xdr:nvSpPr>
      <xdr:spPr>
        <a:xfrm>
          <a:off x="13916025" y="19564350"/>
          <a:ext cx="1256490" cy="213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800" b="1" i="0" u="none" strike="noStrike">
              <a:solidFill>
                <a:schemeClr val="bg1">
                  <a:lumMod val="50000"/>
                </a:schemeClr>
              </a:solidFill>
              <a:latin typeface="Aptos Narrow" panose="020B0004020202020204" pitchFamily="34" charset="0"/>
            </a:rPr>
            <a:t>Net stable funding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B424BA6-915B-4913-9B28-95C7BA483CC6}">
  <we:reference id="wa200005502" version="1.0.0.11" store="en-US" storeType="omex"/>
  <we:alternateReferences>
    <we:reference id="wa200005502" version="1.0.0.11" store="en-US" storeType="omex"/>
  </we:alternateReferences>
  <we:properties>
    <we:property name="docId" value="&quot;pO_ECmP5aSxP6w7PhHZZ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A922DF07-6864-F048-A143-6B5EF93C4A79}">
  <we:reference id="wa200005669" version="2.0.0.0" store="it-IT"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78C8-998F-0E44-B191-1C1F0A1A094D}">
  <dimension ref="A1:M59"/>
  <sheetViews>
    <sheetView tabSelected="1" zoomScale="110" workbookViewId="0">
      <selection activeCell="E51" sqref="E51"/>
    </sheetView>
  </sheetViews>
  <sheetFormatPr baseColWidth="10" defaultColWidth="8.83203125" defaultRowHeight="15" x14ac:dyDescent="0.2"/>
  <cols>
    <col min="1" max="1" width="65.83203125" style="1" bestFit="1" customWidth="1"/>
    <col min="2" max="2" width="17.83203125" style="2" bestFit="1" customWidth="1"/>
    <col min="3" max="3" width="10.1640625" style="1" customWidth="1"/>
    <col min="4" max="4" width="9" style="1" bestFit="1" customWidth="1"/>
    <col min="5" max="5" width="8.83203125" style="1"/>
    <col min="6" max="6" width="18.1640625" style="1" customWidth="1"/>
    <col min="7" max="7" width="16.83203125" style="1" bestFit="1" customWidth="1"/>
    <col min="8" max="8" width="8.83203125" style="1"/>
    <col min="9" max="9" width="41.83203125" style="1" customWidth="1"/>
    <col min="10" max="10" width="17.1640625" style="1" customWidth="1"/>
    <col min="11" max="11" width="8.83203125" style="1"/>
    <col min="12" max="12" width="15.33203125" style="1" customWidth="1"/>
    <col min="13" max="13" width="17.5" style="1" customWidth="1"/>
    <col min="14" max="16384" width="8.83203125" style="1"/>
  </cols>
  <sheetData>
    <row r="1" spans="1:13" ht="16" x14ac:dyDescent="0.2">
      <c r="A1" s="52" t="s">
        <v>0</v>
      </c>
      <c r="B1" s="52"/>
      <c r="C1" s="52"/>
      <c r="D1" s="52"/>
    </row>
    <row r="2" spans="1:13" ht="16" x14ac:dyDescent="0.2">
      <c r="A2" s="17" t="s">
        <v>1</v>
      </c>
      <c r="B2" s="16" t="s">
        <v>2</v>
      </c>
      <c r="C2" s="15" t="s">
        <v>3</v>
      </c>
      <c r="D2" s="14" t="s">
        <v>4</v>
      </c>
      <c r="F2" s="47" t="s">
        <v>5</v>
      </c>
      <c r="G2" s="48" t="s">
        <v>6</v>
      </c>
      <c r="I2" s="143" t="s">
        <v>7</v>
      </c>
      <c r="J2" s="144">
        <v>-2.5000000000000001E-3</v>
      </c>
    </row>
    <row r="3" spans="1:13" x14ac:dyDescent="0.2">
      <c r="A3" s="7" t="s">
        <v>8</v>
      </c>
      <c r="B3" s="8">
        <v>18297496</v>
      </c>
      <c r="C3" s="13"/>
      <c r="D3" s="12"/>
      <c r="F3" s="43"/>
      <c r="G3" s="44"/>
      <c r="I3" s="45" t="str">
        <f>A4</f>
        <v>Loans at AC</v>
      </c>
      <c r="J3" s="49">
        <f>-C4*B4*(J2/(1+D4))</f>
        <v>3412614.1295767943</v>
      </c>
      <c r="M3" s="2"/>
    </row>
    <row r="4" spans="1:13" x14ac:dyDescent="0.2">
      <c r="A4" s="7" t="s">
        <v>9</v>
      </c>
      <c r="B4" s="8">
        <v>109568359</v>
      </c>
      <c r="C4" s="10">
        <v>13.1</v>
      </c>
      <c r="D4" s="9">
        <v>5.1499999999999997E-2</v>
      </c>
      <c r="F4" s="45"/>
      <c r="G4" s="49">
        <f>B4*C4</f>
        <v>1435345502.8999999</v>
      </c>
      <c r="I4" s="45" t="str">
        <f>A7</f>
        <v>Other financial assets and hedging derivatives</v>
      </c>
      <c r="J4" s="49">
        <f>-C7*B7*(J2/(1+D7))</f>
        <v>184126.54489648531</v>
      </c>
      <c r="L4" s="85"/>
      <c r="M4" s="85"/>
    </row>
    <row r="5" spans="1:13" x14ac:dyDescent="0.2">
      <c r="A5" s="11" t="s">
        <v>10</v>
      </c>
      <c r="B5" s="8">
        <v>4141630</v>
      </c>
      <c r="C5" s="10"/>
      <c r="D5" s="9"/>
      <c r="F5" s="43"/>
      <c r="G5" s="44"/>
      <c r="I5" s="45" t="str">
        <f>A11</f>
        <v>Financial assets pertaining to insurance companies</v>
      </c>
      <c r="J5" s="49">
        <f>-C11*B11*(J2/(1+D11))</f>
        <v>403237.19063545152</v>
      </c>
      <c r="M5" s="2"/>
    </row>
    <row r="6" spans="1:13" x14ac:dyDescent="0.2">
      <c r="A6" s="11" t="s">
        <v>11</v>
      </c>
      <c r="B6" s="8">
        <v>105426729</v>
      </c>
      <c r="C6" s="7"/>
      <c r="D6" s="7"/>
      <c r="F6" s="43"/>
      <c r="G6" s="44"/>
      <c r="I6" s="45" t="str">
        <f>A12</f>
        <v>Interests in associates and joint ventures</v>
      </c>
      <c r="J6" s="49">
        <f>-C12*B12*(J2/(1+D12))</f>
        <v>4696.737200956939</v>
      </c>
      <c r="M6" s="2"/>
    </row>
    <row r="7" spans="1:13" x14ac:dyDescent="0.2">
      <c r="A7" s="7" t="s">
        <v>12</v>
      </c>
      <c r="B7" s="8">
        <v>43706381</v>
      </c>
      <c r="C7" s="10">
        <v>1.75</v>
      </c>
      <c r="D7" s="9">
        <v>3.85E-2</v>
      </c>
      <c r="F7" s="45"/>
      <c r="G7" s="49">
        <f>B7*C7</f>
        <v>76486166.75</v>
      </c>
      <c r="I7" s="45"/>
      <c r="J7" s="49"/>
      <c r="M7" s="2"/>
    </row>
    <row r="8" spans="1:13" x14ac:dyDescent="0.2">
      <c r="A8" s="11" t="s">
        <v>13</v>
      </c>
      <c r="B8" s="8">
        <v>7391989</v>
      </c>
      <c r="C8" s="10"/>
      <c r="D8" s="9"/>
      <c r="F8" s="43"/>
      <c r="G8" s="44"/>
      <c r="I8" s="45"/>
      <c r="J8" s="49"/>
    </row>
    <row r="9" spans="1:13" x14ac:dyDescent="0.2">
      <c r="A9" s="11" t="s">
        <v>14</v>
      </c>
      <c r="B9" s="8">
        <v>10692718</v>
      </c>
      <c r="C9" s="10"/>
      <c r="D9" s="9"/>
      <c r="F9" s="43"/>
      <c r="G9" s="44"/>
      <c r="I9" s="45"/>
      <c r="J9" s="49"/>
    </row>
    <row r="10" spans="1:13" x14ac:dyDescent="0.2">
      <c r="A10" s="11" t="s">
        <v>15</v>
      </c>
      <c r="B10" s="8">
        <v>25621674</v>
      </c>
      <c r="C10" s="7"/>
      <c r="D10" s="7"/>
      <c r="F10" s="43"/>
      <c r="G10" s="44"/>
      <c r="I10" s="145" t="s">
        <v>16</v>
      </c>
      <c r="J10" s="146">
        <f>SUM(J3:J7)</f>
        <v>4004674.602309688</v>
      </c>
    </row>
    <row r="11" spans="1:13" x14ac:dyDescent="0.2">
      <c r="A11" s="7" t="s">
        <v>17</v>
      </c>
      <c r="B11" s="8">
        <v>15345008</v>
      </c>
      <c r="C11" s="10">
        <v>11</v>
      </c>
      <c r="D11" s="9">
        <v>4.65E-2</v>
      </c>
      <c r="F11" s="43"/>
      <c r="G11" s="49">
        <f>B11*C11</f>
        <v>168795088</v>
      </c>
      <c r="I11" s="66"/>
      <c r="J11" s="83"/>
      <c r="M11" s="2"/>
    </row>
    <row r="12" spans="1:13" ht="16" thickBot="1" x14ac:dyDescent="0.25">
      <c r="A12" s="7" t="s">
        <v>18</v>
      </c>
      <c r="B12" s="8">
        <v>1454249</v>
      </c>
      <c r="C12" s="10">
        <v>1.35</v>
      </c>
      <c r="D12" s="9">
        <v>4.4999999999999998E-2</v>
      </c>
      <c r="F12" s="43"/>
      <c r="G12" s="49">
        <f>B12*C12</f>
        <v>1963236.1500000001</v>
      </c>
      <c r="J12" s="82"/>
    </row>
    <row r="13" spans="1:13" x14ac:dyDescent="0.2">
      <c r="A13" s="7" t="s">
        <v>19</v>
      </c>
      <c r="B13" s="8">
        <v>2857953</v>
      </c>
      <c r="C13" s="10"/>
      <c r="D13" s="9"/>
      <c r="F13" s="42" t="s">
        <v>20</v>
      </c>
      <c r="G13" s="50">
        <f>SUM(G4:G12)</f>
        <v>1682589993.8</v>
      </c>
      <c r="J13" s="83"/>
      <c r="M13" s="2"/>
    </row>
    <row r="14" spans="1:13" ht="16" thickBot="1" x14ac:dyDescent="0.25">
      <c r="A14" s="7" t="s">
        <v>21</v>
      </c>
      <c r="B14" s="8">
        <v>1257425</v>
      </c>
      <c r="C14" s="7"/>
      <c r="D14" s="7"/>
      <c r="F14" s="55" t="s">
        <v>22</v>
      </c>
      <c r="G14" s="46">
        <f>G13/B18</f>
        <v>8.324214961281756</v>
      </c>
      <c r="M14" s="2"/>
    </row>
    <row r="15" spans="1:13" x14ac:dyDescent="0.2">
      <c r="A15" s="7" t="s">
        <v>23</v>
      </c>
      <c r="B15" s="8">
        <v>4201154</v>
      </c>
      <c r="C15" s="10"/>
      <c r="D15" s="9"/>
    </row>
    <row r="16" spans="1:13" x14ac:dyDescent="0.2">
      <c r="A16" s="7" t="s">
        <v>24</v>
      </c>
      <c r="B16" s="8">
        <v>468685</v>
      </c>
      <c r="C16" s="10"/>
      <c r="D16" s="9"/>
      <c r="I16" s="147" t="s">
        <v>25</v>
      </c>
      <c r="J16" s="148">
        <v>-1.5E-3</v>
      </c>
    </row>
    <row r="17" spans="1:13" x14ac:dyDescent="0.2">
      <c r="A17" s="7" t="s">
        <v>26</v>
      </c>
      <c r="B17" s="8">
        <v>4975263</v>
      </c>
      <c r="C17" s="10"/>
      <c r="D17" s="9"/>
      <c r="I17" s="45" t="str">
        <f>A19</f>
        <v>Direct bank funding</v>
      </c>
      <c r="J17" s="49">
        <f>-C19*B19*(J16/(1+D19))</f>
        <v>243463.79253359881</v>
      </c>
      <c r="M17" s="86"/>
    </row>
    <row r="18" spans="1:13" ht="32" x14ac:dyDescent="0.2">
      <c r="A18" s="6" t="s">
        <v>27</v>
      </c>
      <c r="B18" s="5">
        <v>202131973</v>
      </c>
      <c r="C18" s="4"/>
      <c r="D18" s="4"/>
      <c r="F18" s="51" t="s">
        <v>28</v>
      </c>
      <c r="G18" s="48" t="s">
        <v>6</v>
      </c>
      <c r="I18" s="149" t="str">
        <f>A23</f>
        <v xml:space="preserve">  - Financial liabilities pertaining to insurance companies measured at fair value</v>
      </c>
      <c r="J18" s="150">
        <f>-C23*B23*(J16/(1+D23))</f>
        <v>23839.413997113999</v>
      </c>
      <c r="M18" s="2"/>
    </row>
    <row r="19" spans="1:13" x14ac:dyDescent="0.2">
      <c r="A19" s="7" t="s">
        <v>29</v>
      </c>
      <c r="B19" s="8">
        <v>120770064</v>
      </c>
      <c r="C19" s="10">
        <v>1.35</v>
      </c>
      <c r="D19" s="9">
        <v>4.4999999999999997E-3</v>
      </c>
      <c r="F19" s="43"/>
      <c r="G19" s="49">
        <f>C19*B19</f>
        <v>163039586.40000001</v>
      </c>
      <c r="I19" s="45" t="str">
        <f>A24</f>
        <v xml:space="preserve">  - Insurance liabilities</v>
      </c>
      <c r="J19" s="49">
        <f>-C24*B24*(J16/(1+D24))</f>
        <v>91709.964676498581</v>
      </c>
      <c r="L19" s="2"/>
      <c r="M19" s="2"/>
    </row>
    <row r="20" spans="1:13" x14ac:dyDescent="0.2">
      <c r="A20" s="11" t="s">
        <v>30</v>
      </c>
      <c r="B20" s="8">
        <v>101861964</v>
      </c>
      <c r="C20" s="10"/>
      <c r="D20" s="9"/>
      <c r="F20" s="43"/>
      <c r="G20" s="44"/>
      <c r="I20" s="45" t="str">
        <f>A27</f>
        <v>Other financial liabilities designated at fair value</v>
      </c>
      <c r="J20" s="49">
        <f>-C27*B27*(J16/(1+D27))</f>
        <v>78704.31351482743</v>
      </c>
      <c r="M20" s="2"/>
    </row>
    <row r="21" spans="1:13" ht="32" x14ac:dyDescent="0.2">
      <c r="A21" s="11" t="s">
        <v>31</v>
      </c>
      <c r="B21" s="8">
        <v>18908100</v>
      </c>
      <c r="C21" s="10"/>
      <c r="D21" s="9"/>
      <c r="F21" s="45"/>
      <c r="G21" s="44"/>
      <c r="I21" s="149" t="str">
        <f>A28</f>
        <v>Other financial liabilities pertaining to insurance companies</v>
      </c>
      <c r="J21" s="49">
        <f>-C28*B28*(J16/(1+D28))</f>
        <v>127.36206728425157</v>
      </c>
      <c r="M21" s="2"/>
    </row>
    <row r="22" spans="1:13" x14ac:dyDescent="0.2">
      <c r="A22" s="7" t="s">
        <v>32</v>
      </c>
      <c r="B22" s="8">
        <v>15039762</v>
      </c>
      <c r="C22" s="10"/>
      <c r="D22" s="9"/>
      <c r="F22" s="45"/>
      <c r="G22" s="44"/>
      <c r="I22" s="45" t="str">
        <f>A32</f>
        <v>Other liability items</v>
      </c>
      <c r="J22" s="49">
        <f>-C32*B32*(J16/(1+D32))</f>
        <v>2833.290087463557</v>
      </c>
      <c r="M22" s="2"/>
    </row>
    <row r="23" spans="1:13" x14ac:dyDescent="0.2">
      <c r="A23" s="11" t="s">
        <v>33</v>
      </c>
      <c r="B23" s="8">
        <v>2800121</v>
      </c>
      <c r="C23" s="10">
        <v>5.9</v>
      </c>
      <c r="D23" s="9">
        <v>3.95E-2</v>
      </c>
      <c r="F23" s="43"/>
      <c r="G23" s="49">
        <f>C23*B23</f>
        <v>16520713.9</v>
      </c>
      <c r="I23" s="45"/>
      <c r="J23" s="151"/>
      <c r="M23" s="2"/>
    </row>
    <row r="24" spans="1:13" x14ac:dyDescent="0.2">
      <c r="A24" s="11" t="s">
        <v>34</v>
      </c>
      <c r="B24" s="8">
        <v>12239641</v>
      </c>
      <c r="C24" s="10">
        <v>5.25</v>
      </c>
      <c r="D24" s="9">
        <v>5.0999999999999997E-2</v>
      </c>
      <c r="F24" s="43"/>
      <c r="G24" s="49">
        <f>C24*B24</f>
        <v>64258115.25</v>
      </c>
      <c r="I24" s="45"/>
      <c r="J24" s="151"/>
      <c r="M24" s="2"/>
    </row>
    <row r="25" spans="1:13" x14ac:dyDescent="0.2">
      <c r="A25" s="7" t="s">
        <v>35</v>
      </c>
      <c r="B25" s="8">
        <v>21690773</v>
      </c>
      <c r="C25" s="10"/>
      <c r="D25" s="9"/>
      <c r="F25" s="43"/>
      <c r="G25" s="44"/>
      <c r="I25" s="152" t="s">
        <v>16</v>
      </c>
      <c r="J25" s="153">
        <f>SUM(J17:J22)</f>
        <v>440678.13687678665</v>
      </c>
      <c r="M25" s="2"/>
    </row>
    <row r="26" spans="1:13" x14ac:dyDescent="0.2">
      <c r="A26" s="7" t="s">
        <v>36</v>
      </c>
      <c r="B26" s="8">
        <v>670773</v>
      </c>
      <c r="C26" s="7"/>
      <c r="D26" s="7"/>
      <c r="F26" s="43"/>
      <c r="G26" s="44"/>
      <c r="I26" s="2"/>
      <c r="J26" s="83"/>
      <c r="M26" s="2"/>
    </row>
    <row r="27" spans="1:13" x14ac:dyDescent="0.2">
      <c r="A27" s="7" t="s">
        <v>37</v>
      </c>
      <c r="B27" s="8">
        <v>25697583</v>
      </c>
      <c r="C27" s="10">
        <v>2.1</v>
      </c>
      <c r="D27" s="9">
        <v>2.8500000000000001E-2</v>
      </c>
      <c r="F27" s="43"/>
      <c r="G27" s="49">
        <f>C27*B27</f>
        <v>53964924.300000004</v>
      </c>
      <c r="I27" s="2"/>
      <c r="J27" s="83"/>
    </row>
    <row r="28" spans="1:13" ht="16" x14ac:dyDescent="0.2">
      <c r="A28" s="3" t="s">
        <v>38</v>
      </c>
      <c r="B28" s="8">
        <v>72561</v>
      </c>
      <c r="C28" s="10">
        <v>1.2</v>
      </c>
      <c r="D28" s="9">
        <v>2.5499999999999998E-2</v>
      </c>
      <c r="F28" s="43"/>
      <c r="G28" s="49">
        <f>C28*B28</f>
        <v>87073.2</v>
      </c>
      <c r="I28" s="154" t="s">
        <v>39</v>
      </c>
      <c r="J28" s="155">
        <f>J10-J25</f>
        <v>3563996.4654329014</v>
      </c>
    </row>
    <row r="29" spans="1:13" x14ac:dyDescent="0.2">
      <c r="A29" s="7" t="s">
        <v>40</v>
      </c>
      <c r="B29" s="8">
        <v>894841</v>
      </c>
      <c r="F29" s="43"/>
      <c r="G29" s="44"/>
      <c r="J29" s="83"/>
    </row>
    <row r="30" spans="1:13" x14ac:dyDescent="0.2">
      <c r="A30" s="7" t="s">
        <v>41</v>
      </c>
      <c r="B30" s="8">
        <v>453929</v>
      </c>
      <c r="C30" s="7"/>
      <c r="D30" s="7"/>
      <c r="F30" s="43"/>
      <c r="G30" s="44"/>
      <c r="J30" s="83"/>
    </row>
    <row r="31" spans="1:13" x14ac:dyDescent="0.2">
      <c r="A31" s="7" t="s">
        <v>42</v>
      </c>
      <c r="B31" s="8">
        <v>212011</v>
      </c>
      <c r="C31" s="7"/>
      <c r="D31" s="7"/>
      <c r="F31" s="43"/>
      <c r="G31" s="44"/>
      <c r="I31" s="1" t="s">
        <v>43</v>
      </c>
      <c r="J31" s="131">
        <f>((B33+B34+J28)-(B33+B34))/(B33+B34)</f>
        <v>0.25387917401090321</v>
      </c>
    </row>
    <row r="32" spans="1:13" ht="16" thickBot="1" x14ac:dyDescent="0.25">
      <c r="A32" s="7" t="s">
        <v>44</v>
      </c>
      <c r="B32" s="8">
        <v>2591516</v>
      </c>
      <c r="C32" s="10">
        <v>0.75</v>
      </c>
      <c r="D32" s="9">
        <v>2.9000000000000001E-2</v>
      </c>
      <c r="F32" s="43"/>
      <c r="G32" s="49">
        <f>C32*B32</f>
        <v>1943637</v>
      </c>
    </row>
    <row r="33" spans="1:7" x14ac:dyDescent="0.2">
      <c r="A33" s="7" t="s">
        <v>45</v>
      </c>
      <c r="B33" s="8">
        <v>68</v>
      </c>
      <c r="C33" s="7"/>
      <c r="D33" s="7"/>
      <c r="F33" s="42" t="s">
        <v>20</v>
      </c>
      <c r="G33" s="50">
        <f>SUM(G19:G32)</f>
        <v>299814050.05000001</v>
      </c>
    </row>
    <row r="34" spans="1:7" ht="16" thickBot="1" x14ac:dyDescent="0.25">
      <c r="A34" s="7" t="s">
        <v>46</v>
      </c>
      <c r="B34" s="8">
        <v>14038092</v>
      </c>
      <c r="C34" s="7"/>
      <c r="D34" s="7"/>
      <c r="F34" s="55" t="s">
        <v>22</v>
      </c>
      <c r="G34" s="46">
        <f>G33/B50</f>
        <v>1.5939601907586403</v>
      </c>
    </row>
    <row r="35" spans="1:7" ht="16" thickBot="1" x14ac:dyDescent="0.25">
      <c r="A35" s="6" t="s">
        <v>47</v>
      </c>
      <c r="B35" s="5">
        <v>202131973</v>
      </c>
      <c r="C35" s="4"/>
      <c r="D35" s="4"/>
      <c r="E35" s="3"/>
      <c r="F35" s="2"/>
    </row>
    <row r="36" spans="1:7" x14ac:dyDescent="0.2">
      <c r="F36" s="2"/>
    </row>
    <row r="38" spans="1:7" x14ac:dyDescent="0.2">
      <c r="A38" s="159" t="s">
        <v>222</v>
      </c>
      <c r="B38" s="160">
        <f>B39*0.025</f>
        <v>1509625.8</v>
      </c>
      <c r="C38" s="37"/>
    </row>
    <row r="39" spans="1:7" x14ac:dyDescent="0.2">
      <c r="A39" s="159" t="s">
        <v>223</v>
      </c>
      <c r="B39" s="160">
        <f>B19*0.5</f>
        <v>60385032</v>
      </c>
      <c r="C39" s="37"/>
    </row>
    <row r="40" spans="1:7" x14ac:dyDescent="0.2">
      <c r="A40" s="159" t="s">
        <v>224</v>
      </c>
      <c r="B40" s="160">
        <f>B3</f>
        <v>18297496</v>
      </c>
      <c r="C40" s="37"/>
    </row>
    <row r="41" spans="1:7" x14ac:dyDescent="0.2">
      <c r="A41" s="159" t="s">
        <v>225</v>
      </c>
      <c r="B41" s="160">
        <f>B11+B7+B4</f>
        <v>168619748</v>
      </c>
      <c r="C41" s="37"/>
    </row>
    <row r="42" spans="1:7" x14ac:dyDescent="0.2">
      <c r="A42" s="159" t="s">
        <v>48</v>
      </c>
      <c r="B42" s="217">
        <f>BancoBPM_IncomeStatement!B32/BancoBPM_BalanceSheet!B18</f>
        <v>6.2555813473408285E-3</v>
      </c>
      <c r="C42" s="37"/>
    </row>
    <row r="43" spans="1:7" x14ac:dyDescent="0.2">
      <c r="A43" s="159"/>
      <c r="B43" s="160"/>
      <c r="C43" s="37"/>
    </row>
    <row r="44" spans="1:7" x14ac:dyDescent="0.2">
      <c r="A44" s="159" t="s">
        <v>49</v>
      </c>
      <c r="B44" s="217">
        <f>BancoBPM_IncomeStatement!B32/BancoBPM_BalanceSheet!B34</f>
        <v>9.0072995674910811E-2</v>
      </c>
      <c r="C44" s="37"/>
    </row>
    <row r="45" spans="1:7" x14ac:dyDescent="0.2">
      <c r="A45" s="159"/>
      <c r="B45" s="160"/>
      <c r="C45" s="37"/>
    </row>
    <row r="46" spans="1:7" x14ac:dyDescent="0.2">
      <c r="A46" s="159" t="s">
        <v>218</v>
      </c>
      <c r="B46" s="160">
        <f>B6*0.08</f>
        <v>8434138.3200000003</v>
      </c>
      <c r="C46" s="37"/>
    </row>
    <row r="47" spans="1:7" x14ac:dyDescent="0.2">
      <c r="A47" s="159" t="s">
        <v>219</v>
      </c>
      <c r="B47" s="160">
        <f>B34-B46</f>
        <v>5603953.6799999997</v>
      </c>
      <c r="C47" s="37"/>
    </row>
    <row r="48" spans="1:7" x14ac:dyDescent="0.2">
      <c r="A48" s="159" t="s">
        <v>220</v>
      </c>
      <c r="B48" s="163">
        <f>B46/B34</f>
        <v>0.60080375025323951</v>
      </c>
      <c r="C48" s="37"/>
    </row>
    <row r="49" spans="1:5" x14ac:dyDescent="0.2">
      <c r="A49" s="159" t="s">
        <v>221</v>
      </c>
      <c r="B49" s="218">
        <f>B18/B34</f>
        <v>14.398820936634408</v>
      </c>
      <c r="C49" s="37"/>
    </row>
    <row r="50" spans="1:5" x14ac:dyDescent="0.2">
      <c r="A50" s="159" t="s">
        <v>50</v>
      </c>
      <c r="B50" s="160">
        <f>SUM(B19+B22+B25+B26+B27+B28+B30+B29+B31+B32)</f>
        <v>188093813</v>
      </c>
      <c r="C50" s="37"/>
    </row>
    <row r="51" spans="1:5" x14ac:dyDescent="0.2">
      <c r="A51" s="159" t="s">
        <v>51</v>
      </c>
      <c r="B51" s="216">
        <f>B50/B18</f>
        <v>0.93054953260660056</v>
      </c>
      <c r="C51" s="37"/>
    </row>
    <row r="52" spans="1:5" x14ac:dyDescent="0.2">
      <c r="A52" s="159" t="s">
        <v>52</v>
      </c>
      <c r="B52" s="216">
        <f>G14-G34*B51</f>
        <v>6.8409560507777751</v>
      </c>
      <c r="C52" s="37"/>
    </row>
    <row r="53" spans="1:5" x14ac:dyDescent="0.2">
      <c r="A53" s="164" t="s">
        <v>216</v>
      </c>
      <c r="B53" s="159"/>
      <c r="C53" s="37"/>
    </row>
    <row r="54" spans="1:5" ht="16" x14ac:dyDescent="0.2">
      <c r="A54" s="168" t="s">
        <v>226</v>
      </c>
      <c r="B54" s="170" t="s">
        <v>54</v>
      </c>
      <c r="C54" s="165">
        <v>0.01</v>
      </c>
    </row>
    <row r="55" spans="1:5" x14ac:dyDescent="0.2">
      <c r="A55" s="159" t="s">
        <v>55</v>
      </c>
      <c r="B55" s="160">
        <f>-B52*B18*C54</f>
        <v>-13827759.437499998</v>
      </c>
      <c r="C55" s="37"/>
    </row>
    <row r="56" spans="1:5" x14ac:dyDescent="0.2">
      <c r="A56" s="159" t="s">
        <v>56</v>
      </c>
      <c r="B56" s="160">
        <f>SUM(B33:B34)+B55</f>
        <v>210400.56250000186</v>
      </c>
      <c r="C56" s="37"/>
      <c r="E56" s="132"/>
    </row>
    <row r="57" spans="1:5" x14ac:dyDescent="0.2">
      <c r="A57" s="169" t="s">
        <v>227</v>
      </c>
      <c r="B57" s="171" t="s">
        <v>54</v>
      </c>
      <c r="C57" s="166">
        <v>-5.0000000000000001E-3</v>
      </c>
    </row>
    <row r="58" spans="1:5" x14ac:dyDescent="0.2">
      <c r="A58" s="167" t="s">
        <v>55</v>
      </c>
      <c r="B58" s="160">
        <f>-B52*B18*C57</f>
        <v>6913879.7187499991</v>
      </c>
      <c r="C58" s="37"/>
    </row>
    <row r="59" spans="1:5" x14ac:dyDescent="0.2">
      <c r="A59" s="159" t="s">
        <v>56</v>
      </c>
      <c r="B59" s="160">
        <f>SUM(B33:B34)+B58</f>
        <v>20952039.71875</v>
      </c>
      <c r="C59" s="37"/>
      <c r="E59" s="1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CE4A3-9E44-6848-AFB6-04BA9A857D18}">
  <dimension ref="A1:D48"/>
  <sheetViews>
    <sheetView zoomScale="125" workbookViewId="0">
      <selection activeCell="C24" sqref="C24"/>
    </sheetView>
  </sheetViews>
  <sheetFormatPr baseColWidth="10" defaultColWidth="8.83203125" defaultRowHeight="15" x14ac:dyDescent="0.2"/>
  <cols>
    <col min="1" max="1" width="69.83203125" style="1" bestFit="1" customWidth="1"/>
    <col min="2" max="2" width="13.83203125" style="18" bestFit="1" customWidth="1"/>
    <col min="3" max="3" width="13.83203125" style="1" bestFit="1" customWidth="1"/>
    <col min="4" max="16384" width="8.83203125" style="1"/>
  </cols>
  <sheetData>
    <row r="1" spans="1:4" ht="16" x14ac:dyDescent="0.2">
      <c r="A1" s="53" t="s">
        <v>58</v>
      </c>
      <c r="B1" s="53"/>
      <c r="C1" s="23"/>
      <c r="D1" s="23"/>
    </row>
    <row r="2" spans="1:4" ht="16" thickBot="1" x14ac:dyDescent="0.25">
      <c r="A2" s="17" t="s">
        <v>1</v>
      </c>
      <c r="B2" s="16" t="s">
        <v>59</v>
      </c>
    </row>
    <row r="3" spans="1:4" x14ac:dyDescent="0.2">
      <c r="A3" s="1" t="s">
        <v>60</v>
      </c>
      <c r="B3" s="18">
        <v>3289228</v>
      </c>
    </row>
    <row r="4" spans="1:4" x14ac:dyDescent="0.2">
      <c r="A4" s="1" t="s">
        <v>61</v>
      </c>
      <c r="B4" s="18">
        <v>144097</v>
      </c>
    </row>
    <row r="5" spans="1:4" x14ac:dyDescent="0.2">
      <c r="A5" s="21" t="s">
        <v>62</v>
      </c>
      <c r="B5" s="20">
        <v>3433325</v>
      </c>
    </row>
    <row r="6" spans="1:4" x14ac:dyDescent="0.2">
      <c r="A6" s="19" t="s">
        <v>63</v>
      </c>
      <c r="B6" s="18">
        <v>1860019</v>
      </c>
    </row>
    <row r="7" spans="1:4" x14ac:dyDescent="0.2">
      <c r="A7" s="19" t="s">
        <v>64</v>
      </c>
      <c r="B7" s="18">
        <v>81276</v>
      </c>
    </row>
    <row r="8" spans="1:4" x14ac:dyDescent="0.2">
      <c r="A8" s="19" t="s">
        <v>65</v>
      </c>
      <c r="B8" s="18">
        <v>-79029</v>
      </c>
    </row>
    <row r="9" spans="1:4" x14ac:dyDescent="0.2">
      <c r="A9" s="19" t="s">
        <v>66</v>
      </c>
      <c r="B9" s="18">
        <v>45851</v>
      </c>
    </row>
    <row r="10" spans="1:4" x14ac:dyDescent="0.2">
      <c r="A10" s="22" t="s">
        <v>67</v>
      </c>
      <c r="B10" s="18">
        <v>1908117</v>
      </c>
      <c r="C10" s="18"/>
    </row>
    <row r="11" spans="1:4" x14ac:dyDescent="0.2">
      <c r="A11" s="21" t="s">
        <v>68</v>
      </c>
      <c r="B11" s="20">
        <v>5341442</v>
      </c>
      <c r="C11" s="123"/>
    </row>
    <row r="12" spans="1:4" x14ac:dyDescent="0.2">
      <c r="A12" s="19" t="s">
        <v>69</v>
      </c>
      <c r="B12" s="18">
        <v>-1671952</v>
      </c>
    </row>
    <row r="13" spans="1:4" x14ac:dyDescent="0.2">
      <c r="A13" s="19" t="s">
        <v>70</v>
      </c>
      <c r="B13" s="18">
        <v>-652393</v>
      </c>
    </row>
    <row r="14" spans="1:4" x14ac:dyDescent="0.2">
      <c r="A14" s="19" t="s">
        <v>71</v>
      </c>
      <c r="B14" s="18">
        <v>-246818</v>
      </c>
    </row>
    <row r="15" spans="1:4" x14ac:dyDescent="0.2">
      <c r="A15" s="22" t="s">
        <v>72</v>
      </c>
      <c r="B15" s="18">
        <v>-2571163</v>
      </c>
      <c r="C15" s="18"/>
    </row>
    <row r="16" spans="1:4" x14ac:dyDescent="0.2">
      <c r="A16" s="21" t="s">
        <v>73</v>
      </c>
      <c r="B16" s="20">
        <v>2770279</v>
      </c>
      <c r="C16" s="18"/>
    </row>
    <row r="17" spans="1:3" x14ac:dyDescent="0.2">
      <c r="A17" s="19" t="s">
        <v>74</v>
      </c>
      <c r="B17" s="18">
        <v>-558594</v>
      </c>
    </row>
    <row r="18" spans="1:3" x14ac:dyDescent="0.2">
      <c r="A18" s="19" t="s">
        <v>75</v>
      </c>
      <c r="B18" s="18">
        <v>-146847</v>
      </c>
    </row>
    <row r="19" spans="1:3" x14ac:dyDescent="0.2">
      <c r="A19" s="19" t="s">
        <v>76</v>
      </c>
      <c r="B19" s="18">
        <v>-1986</v>
      </c>
    </row>
    <row r="20" spans="1:3" x14ac:dyDescent="0.2">
      <c r="A20" s="19" t="s">
        <v>77</v>
      </c>
      <c r="B20" s="18">
        <v>-22189</v>
      </c>
    </row>
    <row r="21" spans="1:3" x14ac:dyDescent="0.2">
      <c r="A21" s="19" t="s">
        <v>78</v>
      </c>
      <c r="B21" s="18">
        <v>342</v>
      </c>
    </row>
    <row r="22" spans="1:3" x14ac:dyDescent="0.2">
      <c r="A22" s="21" t="s">
        <v>79</v>
      </c>
      <c r="B22" s="20">
        <v>2041005</v>
      </c>
      <c r="C22" s="18"/>
    </row>
    <row r="23" spans="1:3" x14ac:dyDescent="0.2">
      <c r="A23" s="19" t="s">
        <v>80</v>
      </c>
      <c r="B23" s="18">
        <v>-604751</v>
      </c>
    </row>
    <row r="24" spans="1:3" x14ac:dyDescent="0.2">
      <c r="A24" s="21" t="s">
        <v>81</v>
      </c>
      <c r="B24" s="20">
        <v>1436254</v>
      </c>
      <c r="C24" s="18"/>
    </row>
    <row r="25" spans="1:3" x14ac:dyDescent="0.2">
      <c r="A25" s="19" t="s">
        <v>82</v>
      </c>
      <c r="B25" s="18">
        <v>-126577</v>
      </c>
    </row>
    <row r="26" spans="1:3" x14ac:dyDescent="0.2">
      <c r="A26" s="19" t="s">
        <v>83</v>
      </c>
      <c r="B26" s="18">
        <v>8802</v>
      </c>
    </row>
    <row r="27" spans="1:3" x14ac:dyDescent="0.2">
      <c r="A27" s="19" t="s">
        <v>84</v>
      </c>
      <c r="B27" s="18">
        <v>-22245</v>
      </c>
    </row>
    <row r="28" spans="1:3" x14ac:dyDescent="0.2">
      <c r="A28" s="19" t="s">
        <v>85</v>
      </c>
    </row>
    <row r="29" spans="1:3" x14ac:dyDescent="0.2">
      <c r="A29" s="19" t="s">
        <v>86</v>
      </c>
      <c r="B29" s="18">
        <v>-3463</v>
      </c>
    </row>
    <row r="30" spans="1:3" x14ac:dyDescent="0.2">
      <c r="A30" s="19" t="s">
        <v>87</v>
      </c>
      <c r="B30" s="18">
        <v>-28340</v>
      </c>
    </row>
    <row r="31" spans="1:3" x14ac:dyDescent="0.2">
      <c r="A31" s="1" t="s">
        <v>88</v>
      </c>
      <c r="B31" s="18">
        <v>22</v>
      </c>
    </row>
    <row r="32" spans="1:3" ht="16" thickBot="1" x14ac:dyDescent="0.25">
      <c r="A32" s="60" t="s">
        <v>89</v>
      </c>
      <c r="B32" s="61">
        <v>1264453</v>
      </c>
      <c r="C32" s="18"/>
    </row>
    <row r="44" spans="1:2" x14ac:dyDescent="0.2">
      <c r="A44" s="38"/>
      <c r="B44" s="41"/>
    </row>
    <row r="45" spans="1:2" x14ac:dyDescent="0.2">
      <c r="A45" s="38"/>
      <c r="B45" s="41"/>
    </row>
    <row r="46" spans="1:2" x14ac:dyDescent="0.2">
      <c r="A46" s="38"/>
      <c r="B46" s="40"/>
    </row>
    <row r="47" spans="1:2" x14ac:dyDescent="0.2">
      <c r="A47" s="38"/>
      <c r="B47" s="39"/>
    </row>
    <row r="48" spans="1:2" x14ac:dyDescent="0.2">
      <c r="B48" s="6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7F5F-11F6-D14A-A412-61E068938A1C}">
  <dimension ref="A1:O49"/>
  <sheetViews>
    <sheetView zoomScale="91" workbookViewId="0">
      <selection activeCell="H48" sqref="H48"/>
    </sheetView>
  </sheetViews>
  <sheetFormatPr baseColWidth="10" defaultColWidth="8.83203125" defaultRowHeight="15" x14ac:dyDescent="0.2"/>
  <cols>
    <col min="1" max="1" width="54.5" style="1" bestFit="1" customWidth="1"/>
    <col min="2" max="2" width="13.83203125" style="1" bestFit="1" customWidth="1"/>
    <col min="3" max="4" width="9" style="1" bestFit="1" customWidth="1"/>
    <col min="5" max="5" width="12.83203125" style="1" bestFit="1" customWidth="1"/>
    <col min="6" max="6" width="17.83203125" style="1" bestFit="1" customWidth="1"/>
    <col min="7" max="7" width="17.1640625" style="1" customWidth="1"/>
    <col min="8" max="8" width="8.83203125" style="1"/>
    <col min="9" max="9" width="24.6640625" style="1" customWidth="1"/>
    <col min="10" max="10" width="13.1640625" style="1" customWidth="1"/>
    <col min="11" max="11" width="8.83203125" style="1"/>
    <col min="12" max="12" width="17.6640625" style="1" customWidth="1"/>
    <col min="13" max="13" width="16.1640625" style="1" customWidth="1"/>
    <col min="14" max="16384" width="8.83203125" style="1"/>
  </cols>
  <sheetData>
    <row r="1" spans="1:15" x14ac:dyDescent="0.2">
      <c r="A1" s="54" t="s">
        <v>90</v>
      </c>
      <c r="B1" s="54"/>
      <c r="C1" s="54"/>
      <c r="D1" s="54"/>
    </row>
    <row r="2" spans="1:15" ht="16" thickBot="1" x14ac:dyDescent="0.25">
      <c r="A2" s="26" t="s">
        <v>91</v>
      </c>
      <c r="B2" s="25" t="s">
        <v>92</v>
      </c>
      <c r="C2" s="34" t="s">
        <v>93</v>
      </c>
      <c r="D2" s="33" t="s">
        <v>4</v>
      </c>
      <c r="I2" s="81"/>
      <c r="J2" s="81"/>
      <c r="K2" s="81"/>
      <c r="L2" s="81"/>
      <c r="M2" s="81"/>
      <c r="N2" s="81"/>
      <c r="O2" s="81"/>
    </row>
    <row r="3" spans="1:15" ht="16" thickBot="1" x14ac:dyDescent="0.25">
      <c r="A3" s="27" t="s">
        <v>94</v>
      </c>
      <c r="B3" s="59">
        <v>61000</v>
      </c>
      <c r="C3" s="27"/>
      <c r="D3" s="27"/>
      <c r="F3" s="47" t="s">
        <v>5</v>
      </c>
      <c r="G3" s="48" t="s">
        <v>6</v>
      </c>
      <c r="I3" s="76" t="s">
        <v>7</v>
      </c>
      <c r="J3" s="77">
        <v>-2.5000000000000001E-3</v>
      </c>
      <c r="K3" s="81"/>
      <c r="L3" s="81"/>
      <c r="M3" s="89"/>
      <c r="N3" s="81"/>
      <c r="O3" s="81"/>
    </row>
    <row r="4" spans="1:15" x14ac:dyDescent="0.2">
      <c r="A4" s="27" t="s">
        <v>95</v>
      </c>
      <c r="B4" s="59">
        <v>57274</v>
      </c>
      <c r="C4" s="29">
        <v>1.2</v>
      </c>
      <c r="D4" s="28">
        <v>3.6499999999999998E-2</v>
      </c>
      <c r="F4" s="43"/>
      <c r="G4" s="49">
        <f>B4*C4</f>
        <v>68728.800000000003</v>
      </c>
      <c r="I4" s="79" t="str">
        <f>A4</f>
        <v>Financial assets held for trading</v>
      </c>
      <c r="J4" s="74">
        <f>-C4*B4*(J3/(1+D4))</f>
        <v>165.77134587554269</v>
      </c>
      <c r="K4" s="81"/>
      <c r="L4" s="81"/>
      <c r="M4" s="90"/>
      <c r="N4" s="81"/>
      <c r="O4" s="81"/>
    </row>
    <row r="5" spans="1:15" x14ac:dyDescent="0.2">
      <c r="A5" s="27" t="s">
        <v>96</v>
      </c>
      <c r="B5" s="59">
        <v>39434</v>
      </c>
      <c r="C5" s="29">
        <v>0.2</v>
      </c>
      <c r="D5" s="28">
        <v>4.0000000000000001E-3</v>
      </c>
      <c r="F5" s="45"/>
      <c r="G5" s="49">
        <f t="shared" ref="G5:G7" si="0">B5*C5</f>
        <v>7886.8</v>
      </c>
      <c r="I5" s="80" t="str">
        <f>A5</f>
        <v>Loans to banks</v>
      </c>
      <c r="J5" s="74">
        <f>-C5*B5*(J3/(1+D5))</f>
        <v>19.638446215139442</v>
      </c>
      <c r="K5" s="81"/>
      <c r="L5" s="91"/>
      <c r="M5" s="91"/>
      <c r="N5" s="81"/>
      <c r="O5" s="81"/>
    </row>
    <row r="6" spans="1:15" x14ac:dyDescent="0.2">
      <c r="A6" s="27" t="s">
        <v>97</v>
      </c>
      <c r="B6" s="59">
        <v>429452</v>
      </c>
      <c r="C6" s="29">
        <v>14.55</v>
      </c>
      <c r="D6" s="28">
        <v>6.3500000000000001E-2</v>
      </c>
      <c r="F6" s="43"/>
      <c r="G6" s="49">
        <f t="shared" si="0"/>
        <v>6248526.6000000006</v>
      </c>
      <c r="I6" s="80" t="str">
        <f>A6</f>
        <v>Loans to customers</v>
      </c>
      <c r="J6" s="74">
        <f>-C6*B6*(J3/(1+D6))</f>
        <v>14688.590973201695</v>
      </c>
      <c r="K6" s="81"/>
      <c r="L6" s="81"/>
      <c r="M6" s="90"/>
      <c r="N6" s="81"/>
      <c r="O6" s="81"/>
    </row>
    <row r="7" spans="1:15" x14ac:dyDescent="0.2">
      <c r="A7" s="27" t="s">
        <v>98</v>
      </c>
      <c r="B7" s="59">
        <v>162953</v>
      </c>
      <c r="C7" s="29">
        <v>0.02</v>
      </c>
      <c r="D7" s="28">
        <v>3.0000000000000001E-3</v>
      </c>
      <c r="F7" s="43"/>
      <c r="G7" s="49">
        <f t="shared" si="0"/>
        <v>3259.06</v>
      </c>
      <c r="I7" s="80" t="str">
        <f>A7</f>
        <v>Other financial assets</v>
      </c>
      <c r="J7" s="74">
        <f>-C7*B7*(J3/(1+D7))</f>
        <v>8.1232801595214372</v>
      </c>
      <c r="K7" s="81"/>
      <c r="L7" s="81"/>
      <c r="M7" s="90"/>
      <c r="N7" s="81"/>
      <c r="O7" s="81"/>
    </row>
    <row r="8" spans="1:15" x14ac:dyDescent="0.2">
      <c r="A8" s="27" t="s">
        <v>99</v>
      </c>
      <c r="B8" s="59">
        <v>-1340</v>
      </c>
      <c r="C8" s="29"/>
      <c r="D8" s="28"/>
      <c r="F8" s="45"/>
      <c r="G8" s="49"/>
      <c r="I8" s="80" t="str">
        <f>A14</f>
        <v>Other assets</v>
      </c>
      <c r="J8" s="74">
        <f>-C14*B14*(J3/(1+D14))</f>
        <v>9.7511155180961833</v>
      </c>
      <c r="K8" s="81"/>
      <c r="L8" s="81"/>
      <c r="M8" s="90"/>
      <c r="N8" s="81"/>
      <c r="O8" s="81"/>
    </row>
    <row r="9" spans="1:15" x14ac:dyDescent="0.2">
      <c r="A9" s="27" t="s">
        <v>19</v>
      </c>
      <c r="B9" s="59">
        <v>8628</v>
      </c>
      <c r="C9" s="29"/>
      <c r="D9" s="28"/>
      <c r="F9" s="43"/>
      <c r="G9" s="44"/>
      <c r="I9" s="79"/>
      <c r="J9" s="74"/>
      <c r="K9" s="81"/>
      <c r="L9" s="81"/>
      <c r="M9" s="81"/>
      <c r="N9" s="81"/>
      <c r="O9" s="81"/>
    </row>
    <row r="10" spans="1:15" x14ac:dyDescent="0.2">
      <c r="A10" s="27" t="s">
        <v>100</v>
      </c>
      <c r="B10" s="59"/>
      <c r="C10" s="27"/>
      <c r="D10" s="27"/>
      <c r="F10" s="43"/>
      <c r="G10" s="44"/>
      <c r="I10" s="79"/>
      <c r="J10" s="74"/>
      <c r="K10" s="81"/>
      <c r="L10" s="81"/>
      <c r="M10" s="81"/>
      <c r="N10" s="81"/>
      <c r="O10" s="81"/>
    </row>
    <row r="11" spans="1:15" x14ac:dyDescent="0.2">
      <c r="A11" s="27" t="s">
        <v>101</v>
      </c>
      <c r="B11" s="59">
        <v>2272</v>
      </c>
      <c r="C11" s="32"/>
      <c r="D11" s="32"/>
      <c r="F11" s="43"/>
      <c r="G11" s="44"/>
      <c r="I11" s="84" t="s">
        <v>16</v>
      </c>
      <c r="J11" s="87">
        <f>SUM(J4:J8)</f>
        <v>14891.875160969996</v>
      </c>
      <c r="K11" s="81"/>
      <c r="L11" s="81"/>
      <c r="M11" s="81"/>
      <c r="N11" s="81"/>
      <c r="O11" s="81"/>
    </row>
    <row r="12" spans="1:15" x14ac:dyDescent="0.2">
      <c r="A12" s="27" t="s">
        <v>23</v>
      </c>
      <c r="B12" s="59">
        <v>11818</v>
      </c>
      <c r="C12" s="32"/>
      <c r="D12" s="32"/>
      <c r="F12" s="43"/>
      <c r="G12" s="49">
        <f>B14*C14</f>
        <v>3933.6</v>
      </c>
      <c r="I12" s="66"/>
      <c r="J12" s="83"/>
      <c r="K12" s="81"/>
      <c r="L12" s="81"/>
      <c r="M12" s="90"/>
      <c r="N12" s="81"/>
      <c r="O12" s="81"/>
    </row>
    <row r="13" spans="1:15" ht="16" thickBot="1" x14ac:dyDescent="0.25">
      <c r="A13" s="27" t="s">
        <v>102</v>
      </c>
      <c r="B13" s="59">
        <v>370</v>
      </c>
      <c r="C13" s="32"/>
      <c r="D13" s="32"/>
      <c r="F13" s="43"/>
      <c r="G13" s="49"/>
      <c r="J13" s="82"/>
      <c r="K13" s="81"/>
      <c r="L13" s="81"/>
      <c r="M13" s="81"/>
      <c r="N13" s="81"/>
      <c r="O13" s="81"/>
    </row>
    <row r="14" spans="1:15" x14ac:dyDescent="0.2">
      <c r="A14" s="27" t="s">
        <v>103</v>
      </c>
      <c r="B14" s="59">
        <v>13112</v>
      </c>
      <c r="C14" s="29">
        <v>0.3</v>
      </c>
      <c r="D14" s="28">
        <v>8.5000000000000006E-3</v>
      </c>
      <c r="F14" s="42" t="s">
        <v>20</v>
      </c>
      <c r="G14" s="50">
        <f>SUM(G4:G12)</f>
        <v>6332334.8599999994</v>
      </c>
      <c r="J14" s="83"/>
      <c r="K14" s="81"/>
      <c r="L14" s="81"/>
      <c r="M14" s="90"/>
      <c r="N14" s="81"/>
      <c r="O14" s="81"/>
    </row>
    <row r="15" spans="1:15" ht="16" thickBot="1" x14ac:dyDescent="0.25">
      <c r="A15" s="26" t="s">
        <v>27</v>
      </c>
      <c r="B15" s="25">
        <v>784973</v>
      </c>
      <c r="C15" s="31"/>
      <c r="D15" s="30"/>
      <c r="E15" s="2"/>
      <c r="F15" s="55" t="s">
        <v>22</v>
      </c>
      <c r="G15" s="46">
        <f>G14/B15</f>
        <v>8.0669460733044307</v>
      </c>
      <c r="K15" s="81"/>
      <c r="L15" s="81"/>
      <c r="M15" s="90"/>
      <c r="N15" s="81"/>
      <c r="O15" s="81"/>
    </row>
    <row r="16" spans="1:15" ht="16" thickBot="1" x14ac:dyDescent="0.25">
      <c r="A16" s="27" t="s">
        <v>104</v>
      </c>
      <c r="B16" s="59">
        <v>71042</v>
      </c>
      <c r="C16" s="29">
        <v>0.25</v>
      </c>
      <c r="D16" s="28">
        <v>4.0000000000000001E-3</v>
      </c>
      <c r="F16" s="47" t="s">
        <v>105</v>
      </c>
      <c r="G16" s="48" t="s">
        <v>6</v>
      </c>
      <c r="K16" s="81"/>
      <c r="L16" s="81"/>
      <c r="M16" s="81"/>
      <c r="N16" s="81"/>
      <c r="O16" s="81"/>
    </row>
    <row r="17" spans="1:15" x14ac:dyDescent="0.2">
      <c r="A17" s="27" t="s">
        <v>106</v>
      </c>
      <c r="B17" s="59">
        <v>495716</v>
      </c>
      <c r="C17" s="29">
        <v>1.1000000000000001</v>
      </c>
      <c r="D17" s="28">
        <v>3.5000000000000001E-3</v>
      </c>
      <c r="F17" s="43"/>
      <c r="G17" s="49">
        <f>B16*C16</f>
        <v>17760.5</v>
      </c>
      <c r="I17" s="75" t="s">
        <v>25</v>
      </c>
      <c r="J17" s="76">
        <v>-1.5E-3</v>
      </c>
      <c r="K17" s="81"/>
      <c r="L17" s="81"/>
      <c r="M17" s="81"/>
      <c r="N17" s="81"/>
      <c r="O17" s="81"/>
    </row>
    <row r="18" spans="1:15" x14ac:dyDescent="0.2">
      <c r="A18" s="27" t="s">
        <v>107</v>
      </c>
      <c r="B18" s="59">
        <v>89845</v>
      </c>
      <c r="C18" s="29">
        <v>0.04</v>
      </c>
      <c r="D18" s="28">
        <v>1.5E-3</v>
      </c>
      <c r="F18" s="45"/>
      <c r="G18" s="49">
        <f t="shared" ref="G18:G21" si="1">B17*C17</f>
        <v>545287.60000000009</v>
      </c>
      <c r="I18" s="79" t="str">
        <f>A16</f>
        <v>Deposits from banks</v>
      </c>
      <c r="J18" s="74">
        <f>-C16*B16*(J17/(1+D16))</f>
        <v>26.53461155378486</v>
      </c>
      <c r="K18" s="81"/>
      <c r="L18" s="81"/>
      <c r="M18" s="89"/>
      <c r="N18" s="81"/>
      <c r="O18" s="81"/>
    </row>
    <row r="19" spans="1:15" x14ac:dyDescent="0.2">
      <c r="A19" s="27" t="s">
        <v>108</v>
      </c>
      <c r="B19" s="59">
        <v>38022</v>
      </c>
      <c r="C19" s="29">
        <v>1.65</v>
      </c>
      <c r="D19" s="28">
        <v>2.5000000000000001E-2</v>
      </c>
      <c r="F19" s="43"/>
      <c r="G19" s="49">
        <f t="shared" si="1"/>
        <v>3593.8</v>
      </c>
      <c r="I19" s="79" t="str">
        <f>A17</f>
        <v>Deposits from customers</v>
      </c>
      <c r="J19" s="74">
        <f>-C17*B17*(J17/(1+D17))</f>
        <v>815.07862481315408</v>
      </c>
      <c r="K19" s="81"/>
      <c r="L19" s="81"/>
      <c r="M19" s="90"/>
      <c r="N19" s="81"/>
      <c r="O19" s="81"/>
    </row>
    <row r="20" spans="1:15" x14ac:dyDescent="0.2">
      <c r="A20" s="27" t="s">
        <v>109</v>
      </c>
      <c r="B20" s="59">
        <v>13751</v>
      </c>
      <c r="C20" s="29">
        <v>1.5</v>
      </c>
      <c r="D20" s="28">
        <v>3.2500000000000001E-2</v>
      </c>
      <c r="F20" s="43"/>
      <c r="G20" s="49">
        <f t="shared" si="1"/>
        <v>62736.299999999996</v>
      </c>
      <c r="I20" s="79" t="str">
        <f>A18</f>
        <v>Debt securities issued</v>
      </c>
      <c r="J20" s="74">
        <f>-C18*B18*(J17/(1+D18))</f>
        <v>5.3826260609086365</v>
      </c>
      <c r="K20" s="81"/>
      <c r="L20" s="90"/>
      <c r="M20" s="90"/>
      <c r="N20" s="81"/>
      <c r="O20" s="81"/>
    </row>
    <row r="21" spans="1:15" ht="32" x14ac:dyDescent="0.2">
      <c r="A21" s="27" t="s">
        <v>99</v>
      </c>
      <c r="B21" s="59">
        <v>-10573</v>
      </c>
      <c r="C21" s="29"/>
      <c r="D21" s="28"/>
      <c r="F21" s="45"/>
      <c r="G21" s="49">
        <f t="shared" si="1"/>
        <v>20626.5</v>
      </c>
      <c r="I21" s="139" t="str">
        <f>A19</f>
        <v>Financial liabilities held for trading</v>
      </c>
      <c r="J21" s="74">
        <f>-C19*B19*(J17/(1+D19))</f>
        <v>91.809219512195128</v>
      </c>
      <c r="K21" s="81"/>
      <c r="L21" s="81"/>
      <c r="M21" s="90"/>
      <c r="N21" s="81"/>
      <c r="O21" s="81"/>
    </row>
    <row r="22" spans="1:15" x14ac:dyDescent="0.2">
      <c r="A22" s="27" t="s">
        <v>41</v>
      </c>
      <c r="B22" s="59">
        <v>1483</v>
      </c>
      <c r="C22" s="29"/>
      <c r="D22" s="28"/>
      <c r="F22" s="43"/>
      <c r="G22" s="49"/>
      <c r="I22" s="79" t="str">
        <f>A20</f>
        <v>Other financial liabilities</v>
      </c>
      <c r="J22" s="74">
        <f>-C20*B20*(J17/(1+D20))</f>
        <v>29.965859564164653</v>
      </c>
      <c r="K22" s="81"/>
      <c r="L22" s="81"/>
      <c r="M22" s="90"/>
      <c r="N22" s="81"/>
      <c r="O22" s="81"/>
    </row>
    <row r="23" spans="1:15" x14ac:dyDescent="0.2">
      <c r="A23" s="27" t="s">
        <v>110</v>
      </c>
      <c r="B23" s="59"/>
      <c r="C23" s="29"/>
      <c r="D23" s="28"/>
      <c r="F23" s="43"/>
      <c r="G23" s="49"/>
      <c r="I23" s="79" t="str">
        <f>A24</f>
        <v>Other liabilities</v>
      </c>
      <c r="J23" s="74">
        <f>-C24*B24*(J17/(1+D24))</f>
        <v>199.19883889695211</v>
      </c>
      <c r="K23" s="81"/>
      <c r="L23" s="81"/>
      <c r="M23" s="90"/>
      <c r="N23" s="81"/>
      <c r="O23" s="81"/>
    </row>
    <row r="24" spans="1:15" x14ac:dyDescent="0.2">
      <c r="A24" s="27" t="s">
        <v>111</v>
      </c>
      <c r="B24" s="59">
        <v>21445</v>
      </c>
      <c r="C24" s="29">
        <v>6.4</v>
      </c>
      <c r="D24" s="28">
        <v>3.3500000000000002E-2</v>
      </c>
      <c r="F24" s="43"/>
      <c r="G24" s="49">
        <f>B24*C24</f>
        <v>137248</v>
      </c>
      <c r="I24" s="79"/>
      <c r="J24" s="73"/>
      <c r="K24" s="81"/>
      <c r="L24" s="81"/>
      <c r="M24" s="90"/>
      <c r="N24" s="81"/>
      <c r="O24" s="81"/>
    </row>
    <row r="25" spans="1:15" x14ac:dyDescent="0.2">
      <c r="A25" s="27" t="s">
        <v>112</v>
      </c>
      <c r="B25" s="59">
        <v>164</v>
      </c>
      <c r="C25" s="27"/>
      <c r="D25" s="27"/>
      <c r="F25" s="43"/>
      <c r="G25" s="49"/>
      <c r="I25" s="79"/>
      <c r="J25" s="73"/>
      <c r="K25" s="81"/>
      <c r="L25" s="81"/>
      <c r="M25" s="90"/>
      <c r="N25" s="81"/>
      <c r="O25" s="81"/>
    </row>
    <row r="26" spans="1:15" ht="16" thickBot="1" x14ac:dyDescent="0.25">
      <c r="A26" s="27" t="s">
        <v>113</v>
      </c>
      <c r="B26" s="59">
        <v>54572</v>
      </c>
      <c r="C26" s="27"/>
      <c r="D26" s="27"/>
      <c r="F26" s="43"/>
      <c r="G26" s="49"/>
      <c r="I26" s="88" t="s">
        <v>16</v>
      </c>
      <c r="J26" s="87">
        <f>SUM(J18:J25)</f>
        <v>1167.9697804011594</v>
      </c>
      <c r="K26" s="81"/>
      <c r="L26" s="81"/>
      <c r="M26" s="90"/>
      <c r="N26" s="81"/>
      <c r="O26" s="81"/>
    </row>
    <row r="27" spans="1:15" x14ac:dyDescent="0.2">
      <c r="A27" s="27" t="s">
        <v>114</v>
      </c>
      <c r="B27" s="59">
        <v>9506</v>
      </c>
      <c r="C27" s="27"/>
      <c r="D27" s="27"/>
      <c r="E27" s="2"/>
      <c r="F27" s="42" t="s">
        <v>20</v>
      </c>
      <c r="G27" s="50">
        <f>SUM(G17:G24)</f>
        <v>787252.70000000019</v>
      </c>
      <c r="I27" s="2"/>
      <c r="J27" s="83"/>
      <c r="K27" s="81"/>
      <c r="L27" s="81"/>
      <c r="M27" s="90"/>
      <c r="N27" s="81"/>
      <c r="O27" s="81"/>
    </row>
    <row r="28" spans="1:15" ht="16" thickBot="1" x14ac:dyDescent="0.25">
      <c r="A28" s="26" t="s">
        <v>47</v>
      </c>
      <c r="B28" s="25">
        <v>784973</v>
      </c>
      <c r="C28" s="24"/>
      <c r="D28" s="24"/>
      <c r="E28" s="2"/>
      <c r="F28" s="55" t="s">
        <v>22</v>
      </c>
      <c r="G28" s="46">
        <f>G27/B39</f>
        <v>1.0922975423563024</v>
      </c>
      <c r="I28" s="2"/>
      <c r="J28" s="83"/>
      <c r="K28" s="81"/>
      <c r="L28" s="81"/>
      <c r="M28" s="81"/>
      <c r="N28" s="81"/>
      <c r="O28" s="81"/>
    </row>
    <row r="29" spans="1:15" ht="16" x14ac:dyDescent="0.2">
      <c r="F29" s="2"/>
      <c r="I29" s="140" t="s">
        <v>39</v>
      </c>
      <c r="J29" s="141">
        <f>J11-J26</f>
        <v>13723.905380568836</v>
      </c>
      <c r="K29" s="81"/>
      <c r="L29" s="92"/>
      <c r="M29" s="90"/>
      <c r="N29" s="81"/>
      <c r="O29" s="81"/>
    </row>
    <row r="30" spans="1:15" x14ac:dyDescent="0.2">
      <c r="E30" s="2"/>
      <c r="J30" s="83"/>
      <c r="K30" s="81"/>
      <c r="L30" s="81"/>
      <c r="M30" s="81"/>
      <c r="N30" s="81"/>
      <c r="O30" s="81"/>
    </row>
    <row r="31" spans="1:15" x14ac:dyDescent="0.2">
      <c r="A31" s="37"/>
      <c r="B31" s="37"/>
      <c r="C31" s="37"/>
      <c r="D31" s="37"/>
      <c r="E31" s="2"/>
      <c r="I31" s="1" t="s">
        <v>43</v>
      </c>
      <c r="J31" s="65">
        <f>((B25+B27+B26+J29)-(B25+B26+B27))/(B25+B26+B27)</f>
        <v>0.21362823978968323</v>
      </c>
      <c r="K31" s="81"/>
      <c r="L31" s="81"/>
      <c r="M31" s="81"/>
      <c r="N31" s="81"/>
      <c r="O31" s="81"/>
    </row>
    <row r="32" spans="1:15" x14ac:dyDescent="0.2">
      <c r="A32" s="159" t="s">
        <v>217</v>
      </c>
      <c r="B32" s="160">
        <f>B4+B5+B6+B7</f>
        <v>689113</v>
      </c>
      <c r="C32" s="37"/>
      <c r="D32" s="37"/>
    </row>
    <row r="33" spans="1:5" x14ac:dyDescent="0.2">
      <c r="A33" s="159" t="s">
        <v>115</v>
      </c>
      <c r="B33" s="159">
        <f>UniCredit_IncomeStatement!B29/UniCredit_BalanceSheet!B15</f>
        <v>1.2111244590578274E-2</v>
      </c>
      <c r="C33" s="161">
        <f>B33</f>
        <v>1.2111244590578274E-2</v>
      </c>
      <c r="D33" s="37"/>
    </row>
    <row r="34" spans="1:5" x14ac:dyDescent="0.2">
      <c r="A34" s="159" t="s">
        <v>116</v>
      </c>
      <c r="B34" s="162">
        <f>UniCredit_IncomeStatement!B29/(UniCredit_BalanceSheet!B26 +B27)</f>
        <v>0.14836605387184368</v>
      </c>
      <c r="C34" s="161">
        <f>B34</f>
        <v>0.14836605387184368</v>
      </c>
      <c r="D34" s="37"/>
    </row>
    <row r="35" spans="1:5" x14ac:dyDescent="0.2">
      <c r="A35" s="159" t="s">
        <v>218</v>
      </c>
      <c r="B35" s="160">
        <f>B6*0.06</f>
        <v>25767.119999999999</v>
      </c>
      <c r="C35" s="37"/>
      <c r="D35" s="37"/>
    </row>
    <row r="36" spans="1:5" x14ac:dyDescent="0.2">
      <c r="A36" s="159" t="s">
        <v>219</v>
      </c>
      <c r="B36" s="160">
        <f>B26-B35</f>
        <v>28804.880000000001</v>
      </c>
      <c r="C36" s="37"/>
      <c r="D36" s="37"/>
    </row>
    <row r="37" spans="1:5" x14ac:dyDescent="0.2">
      <c r="A37" s="159" t="s">
        <v>220</v>
      </c>
      <c r="B37" s="163">
        <f>B35/B26</f>
        <v>0.47216741185956168</v>
      </c>
      <c r="C37" s="37"/>
      <c r="D37" s="37"/>
    </row>
    <row r="38" spans="1:5" x14ac:dyDescent="0.2">
      <c r="A38" s="159" t="s">
        <v>221</v>
      </c>
      <c r="B38" s="159">
        <f>B15/B26</f>
        <v>14.384171369933298</v>
      </c>
      <c r="C38" s="37"/>
      <c r="D38" s="37"/>
    </row>
    <row r="39" spans="1:5" x14ac:dyDescent="0.2">
      <c r="A39" s="159" t="s">
        <v>117</v>
      </c>
      <c r="B39" s="160">
        <f>SUM(B16:B24)</f>
        <v>720731</v>
      </c>
      <c r="C39" s="37"/>
      <c r="D39" s="37"/>
    </row>
    <row r="40" spans="1:5" x14ac:dyDescent="0.2">
      <c r="A40" s="159" t="s">
        <v>51</v>
      </c>
      <c r="B40" s="159">
        <f>B39/B15</f>
        <v>0.91816024245419903</v>
      </c>
      <c r="C40" s="37"/>
      <c r="D40" s="37"/>
    </row>
    <row r="41" spans="1:5" x14ac:dyDescent="0.2">
      <c r="A41" s="159" t="s">
        <v>52</v>
      </c>
      <c r="B41" s="159">
        <f>G15-G28*B40</f>
        <v>7.0640418969824426</v>
      </c>
      <c r="C41" s="37"/>
      <c r="D41" s="37"/>
    </row>
    <row r="42" spans="1:5" x14ac:dyDescent="0.2">
      <c r="A42" s="164" t="s">
        <v>216</v>
      </c>
      <c r="B42" s="159"/>
      <c r="C42" s="37"/>
      <c r="D42" s="37"/>
    </row>
    <row r="43" spans="1:5" ht="16" x14ac:dyDescent="0.2">
      <c r="A43" s="168" t="s">
        <v>53</v>
      </c>
      <c r="B43" s="170" t="s">
        <v>54</v>
      </c>
      <c r="C43" s="165">
        <v>0.01</v>
      </c>
      <c r="D43" s="37"/>
    </row>
    <row r="44" spans="1:5" x14ac:dyDescent="0.2">
      <c r="A44" s="159" t="s">
        <v>55</v>
      </c>
      <c r="B44" s="160">
        <f>-B41*B15*C43</f>
        <v>-55450.821599999996</v>
      </c>
      <c r="C44" s="37"/>
      <c r="D44" s="37"/>
    </row>
    <row r="45" spans="1:5" x14ac:dyDescent="0.2">
      <c r="A45" s="159" t="s">
        <v>56</v>
      </c>
      <c r="B45" s="160">
        <f>SUM(B25:B27)+B44</f>
        <v>8791.1784000000043</v>
      </c>
      <c r="C45" s="37"/>
      <c r="D45" s="37"/>
      <c r="E45" s="132"/>
    </row>
    <row r="46" spans="1:5" x14ac:dyDescent="0.2">
      <c r="A46" s="169" t="s">
        <v>57</v>
      </c>
      <c r="B46" s="171" t="s">
        <v>54</v>
      </c>
      <c r="C46" s="166">
        <v>-5.0000000000000001E-3</v>
      </c>
      <c r="D46" s="37"/>
    </row>
    <row r="47" spans="1:5" x14ac:dyDescent="0.2">
      <c r="A47" s="167" t="s">
        <v>55</v>
      </c>
      <c r="B47" s="160">
        <f>-B41*B15*C46</f>
        <v>27725.410799999998</v>
      </c>
      <c r="C47" s="37"/>
      <c r="D47" s="37"/>
    </row>
    <row r="48" spans="1:5" x14ac:dyDescent="0.2">
      <c r="A48" s="159" t="s">
        <v>56</v>
      </c>
      <c r="B48" s="160">
        <f>SUM(B25:B27)+B47</f>
        <v>91967.410799999998</v>
      </c>
      <c r="C48" s="37"/>
      <c r="D48" s="37"/>
      <c r="E48" s="132"/>
    </row>
    <row r="49" spans="1:4" x14ac:dyDescent="0.2">
      <c r="A49" s="37"/>
      <c r="B49" s="37"/>
      <c r="C49" s="37"/>
      <c r="D49"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44BC-CDF4-8846-A025-C3D80B8AE2C6}">
  <dimension ref="A1:E45"/>
  <sheetViews>
    <sheetView zoomScale="106" workbookViewId="0">
      <selection activeCell="A8" sqref="A8:B8"/>
    </sheetView>
  </sheetViews>
  <sheetFormatPr baseColWidth="10" defaultColWidth="8.83203125" defaultRowHeight="15" x14ac:dyDescent="0.2"/>
  <cols>
    <col min="1" max="1" width="69.83203125" style="1" bestFit="1" customWidth="1"/>
    <col min="2" max="2" width="8.6640625" style="1" bestFit="1" customWidth="1"/>
    <col min="3" max="16384" width="8.83203125" style="1"/>
  </cols>
  <sheetData>
    <row r="1" spans="1:5" x14ac:dyDescent="0.2">
      <c r="A1" s="172" t="s">
        <v>118</v>
      </c>
      <c r="B1" s="172"/>
      <c r="C1" s="172"/>
      <c r="D1" s="172"/>
    </row>
    <row r="2" spans="1:5" ht="16" thickBot="1" x14ac:dyDescent="0.25">
      <c r="A2" s="36" t="s">
        <v>91</v>
      </c>
      <c r="B2" s="35" t="s">
        <v>59</v>
      </c>
    </row>
    <row r="3" spans="1:5" x14ac:dyDescent="0.2">
      <c r="A3" s="37" t="s">
        <v>119</v>
      </c>
      <c r="B3" s="37">
        <v>14005</v>
      </c>
    </row>
    <row r="4" spans="1:5" x14ac:dyDescent="0.2">
      <c r="A4" s="37" t="s">
        <v>120</v>
      </c>
      <c r="B4" s="37">
        <v>459</v>
      </c>
    </row>
    <row r="5" spans="1:5" x14ac:dyDescent="0.2">
      <c r="A5" s="37" t="s">
        <v>121</v>
      </c>
      <c r="B5" s="37">
        <v>7463</v>
      </c>
    </row>
    <row r="6" spans="1:5" x14ac:dyDescent="0.2">
      <c r="A6" s="37" t="s">
        <v>122</v>
      </c>
      <c r="B6" s="37">
        <v>1845</v>
      </c>
      <c r="E6" s="66"/>
    </row>
    <row r="7" spans="1:5" x14ac:dyDescent="0.2">
      <c r="A7" s="37" t="s">
        <v>123</v>
      </c>
      <c r="B7" s="37">
        <v>72</v>
      </c>
    </row>
    <row r="8" spans="1:5" x14ac:dyDescent="0.2">
      <c r="A8" s="62" t="s">
        <v>124</v>
      </c>
      <c r="B8" s="62">
        <f>SUM(B3:B7)</f>
        <v>23844</v>
      </c>
    </row>
    <row r="9" spans="1:5" x14ac:dyDescent="0.2">
      <c r="A9" s="37" t="s">
        <v>125</v>
      </c>
      <c r="B9" s="37">
        <v>-5860</v>
      </c>
    </row>
    <row r="10" spans="1:5" x14ac:dyDescent="0.2">
      <c r="A10" s="37" t="s">
        <v>126</v>
      </c>
      <c r="B10" s="37">
        <v>-3075</v>
      </c>
      <c r="E10" s="66"/>
    </row>
    <row r="11" spans="1:5" x14ac:dyDescent="0.2">
      <c r="A11" s="37" t="s">
        <v>127</v>
      </c>
      <c r="B11" s="37">
        <v>542</v>
      </c>
      <c r="E11" s="66"/>
    </row>
    <row r="12" spans="1:5" x14ac:dyDescent="0.2">
      <c r="A12" s="37" t="s">
        <v>128</v>
      </c>
      <c r="B12" s="37">
        <v>-1078</v>
      </c>
    </row>
    <row r="13" spans="1:5" x14ac:dyDescent="0.2">
      <c r="A13" s="63" t="s">
        <v>129</v>
      </c>
      <c r="B13" s="37">
        <v>-9471</v>
      </c>
    </row>
    <row r="14" spans="1:5" x14ac:dyDescent="0.2">
      <c r="A14" s="62" t="s">
        <v>130</v>
      </c>
      <c r="B14" s="64">
        <v>14373</v>
      </c>
    </row>
    <row r="15" spans="1:5" x14ac:dyDescent="0.2">
      <c r="A15" s="37" t="s">
        <v>131</v>
      </c>
      <c r="B15" s="37">
        <v>-548</v>
      </c>
    </row>
    <row r="16" spans="1:5" x14ac:dyDescent="0.2">
      <c r="A16" s="62" t="s">
        <v>132</v>
      </c>
      <c r="B16" s="62">
        <v>13825</v>
      </c>
    </row>
    <row r="17" spans="1:2" x14ac:dyDescent="0.2">
      <c r="A17" s="37" t="s">
        <v>133</v>
      </c>
      <c r="B17" s="37">
        <v>-1041</v>
      </c>
    </row>
    <row r="18" spans="1:2" x14ac:dyDescent="0.2">
      <c r="A18" s="37" t="s">
        <v>134</v>
      </c>
      <c r="B18" s="37">
        <v>-955</v>
      </c>
    </row>
    <row r="19" spans="1:2" x14ac:dyDescent="0.2">
      <c r="A19" s="37" t="s">
        <v>135</v>
      </c>
      <c r="B19" s="37">
        <v>-1060</v>
      </c>
    </row>
    <row r="20" spans="1:2" x14ac:dyDescent="0.2">
      <c r="A20" s="37" t="s">
        <v>136</v>
      </c>
      <c r="B20" s="37">
        <v>-272</v>
      </c>
    </row>
    <row r="21" spans="1:2" x14ac:dyDescent="0.2">
      <c r="A21" s="62" t="s">
        <v>137</v>
      </c>
      <c r="B21" s="62">
        <v>11452</v>
      </c>
    </row>
    <row r="22" spans="1:2" x14ac:dyDescent="0.2">
      <c r="A22" s="37" t="s">
        <v>138</v>
      </c>
      <c r="B22" s="37">
        <v>-1914</v>
      </c>
    </row>
    <row r="23" spans="1:2" x14ac:dyDescent="0.2">
      <c r="A23" s="37" t="s">
        <v>139</v>
      </c>
      <c r="B23" s="37"/>
    </row>
    <row r="24" spans="1:2" x14ac:dyDescent="0.2">
      <c r="A24" s="62" t="s">
        <v>140</v>
      </c>
      <c r="B24" s="64">
        <v>9538</v>
      </c>
    </row>
    <row r="25" spans="1:2" x14ac:dyDescent="0.2">
      <c r="A25" s="37" t="s">
        <v>112</v>
      </c>
      <c r="B25" s="37">
        <v>-27</v>
      </c>
    </row>
    <row r="26" spans="1:2" x14ac:dyDescent="0.2">
      <c r="A26" s="62" t="s">
        <v>141</v>
      </c>
      <c r="B26" s="62">
        <v>9511</v>
      </c>
    </row>
    <row r="27" spans="1:2" x14ac:dyDescent="0.2">
      <c r="A27" s="37" t="s">
        <v>142</v>
      </c>
      <c r="B27" s="37">
        <v>-4</v>
      </c>
    </row>
    <row r="28" spans="1:2" x14ac:dyDescent="0.2">
      <c r="A28" s="37" t="s">
        <v>143</v>
      </c>
      <c r="B28" s="37"/>
    </row>
    <row r="29" spans="1:2" ht="16" thickBot="1" x14ac:dyDescent="0.25">
      <c r="A29" s="36" t="s">
        <v>144</v>
      </c>
      <c r="B29" s="36">
        <v>9507</v>
      </c>
    </row>
    <row r="43" spans="1:2" x14ac:dyDescent="0.2">
      <c r="A43" s="38"/>
      <c r="B43" s="39"/>
    </row>
    <row r="44" spans="1:2" x14ac:dyDescent="0.2">
      <c r="A44" s="38"/>
      <c r="B44" s="39"/>
    </row>
    <row r="45" spans="1:2" x14ac:dyDescent="0.2">
      <c r="B45" s="66"/>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A736-0A4D-4E13-B054-C3757D814125}">
  <sheetPr>
    <pageSetUpPr fitToPage="1"/>
  </sheetPr>
  <dimension ref="A1:AF68"/>
  <sheetViews>
    <sheetView zoomScale="89" workbookViewId="0">
      <selection activeCell="G67" sqref="G67"/>
    </sheetView>
  </sheetViews>
  <sheetFormatPr baseColWidth="10" defaultColWidth="8.83203125" defaultRowHeight="16" x14ac:dyDescent="0.2"/>
  <cols>
    <col min="1" max="1" width="42.1640625" customWidth="1"/>
    <col min="2" max="2" width="20.5" customWidth="1"/>
    <col min="3" max="3" width="15.6640625" customWidth="1"/>
    <col min="4" max="4" width="57.5" customWidth="1"/>
    <col min="5" max="5" width="31.6640625" bestFit="1" customWidth="1"/>
    <col min="6" max="6" width="28.1640625" bestFit="1" customWidth="1"/>
    <col min="7" max="7" width="43.33203125" bestFit="1" customWidth="1"/>
    <col min="8" max="8" width="26.1640625" customWidth="1"/>
    <col min="10" max="10" width="35.6640625" customWidth="1"/>
    <col min="11" max="11" width="37.83203125" customWidth="1"/>
    <col min="12" max="12" width="20" bestFit="1" customWidth="1"/>
    <col min="13" max="13" width="22.83203125" bestFit="1" customWidth="1"/>
    <col min="14" max="14" width="32.1640625" bestFit="1" customWidth="1"/>
    <col min="15" max="15" width="33" bestFit="1" customWidth="1"/>
    <col min="16" max="16" width="18.6640625" bestFit="1" customWidth="1"/>
    <col min="17" max="17" width="19.5" bestFit="1" customWidth="1"/>
    <col min="32" max="32" width="141.6640625" customWidth="1"/>
  </cols>
  <sheetData>
    <row r="1" spans="1:8" ht="21" x14ac:dyDescent="0.25">
      <c r="A1" s="98" t="s">
        <v>145</v>
      </c>
      <c r="B1" s="100" t="s">
        <v>146</v>
      </c>
      <c r="C1" s="100" t="s">
        <v>147</v>
      </c>
      <c r="D1" s="100" t="s">
        <v>148</v>
      </c>
    </row>
    <row r="2" spans="1:8" x14ac:dyDescent="0.2">
      <c r="A2" s="185" t="s">
        <v>149</v>
      </c>
      <c r="B2" s="186"/>
      <c r="C2" s="186"/>
      <c r="D2" s="187"/>
    </row>
    <row r="3" spans="1:8" x14ac:dyDescent="0.2">
      <c r="A3" s="182" t="s">
        <v>150</v>
      </c>
      <c r="B3" s="183"/>
      <c r="C3" s="183"/>
      <c r="D3" s="184"/>
    </row>
    <row r="4" spans="1:8" ht="15.75" customHeight="1" x14ac:dyDescent="0.2">
      <c r="A4" s="67" t="s">
        <v>151</v>
      </c>
      <c r="B4" s="78">
        <f>BancoBPM_BalanceSheet!B33+BancoBPM_BalanceSheet!B34</f>
        <v>14038160</v>
      </c>
      <c r="C4" s="78">
        <f>UniCredit_BalanceSheet!B25+UniCredit_BalanceSheet!B26+UniCredit_BalanceSheet!B27</f>
        <v>64242</v>
      </c>
      <c r="D4" s="68"/>
      <c r="G4" s="57"/>
      <c r="H4" s="97"/>
    </row>
    <row r="5" spans="1:8" ht="15.75" customHeight="1" x14ac:dyDescent="0.2">
      <c r="A5" s="182" t="s">
        <v>152</v>
      </c>
      <c r="B5" s="183"/>
      <c r="C5" s="183"/>
      <c r="D5" s="184"/>
      <c r="G5" s="57"/>
      <c r="H5" s="97"/>
    </row>
    <row r="6" spans="1:8" ht="15.75" customHeight="1" x14ac:dyDescent="0.2">
      <c r="A6" s="99" t="s">
        <v>153</v>
      </c>
      <c r="B6" s="68">
        <f>BancoBPM_BalanceSheet!B20*50%</f>
        <v>50930982</v>
      </c>
      <c r="C6" s="99"/>
      <c r="D6" s="192" t="s">
        <v>154</v>
      </c>
      <c r="G6" s="57"/>
      <c r="H6" s="97"/>
    </row>
    <row r="7" spans="1:8" ht="18" customHeight="1" x14ac:dyDescent="0.2">
      <c r="A7" s="99" t="s">
        <v>8</v>
      </c>
      <c r="B7" s="68">
        <f>BancoBPM_BalanceSheet!B3</f>
        <v>18297496</v>
      </c>
      <c r="C7" s="99"/>
      <c r="D7" s="192"/>
      <c r="G7" s="57"/>
      <c r="H7" s="97"/>
    </row>
    <row r="8" spans="1:8" ht="70.5" customHeight="1" x14ac:dyDescent="0.2">
      <c r="A8" s="109" t="s">
        <v>155</v>
      </c>
      <c r="B8" s="110">
        <f>2.5%*B6</f>
        <v>1273274.55</v>
      </c>
      <c r="C8" s="111"/>
      <c r="D8" s="192"/>
      <c r="G8" s="58"/>
      <c r="H8" s="97"/>
    </row>
    <row r="9" spans="1:8" ht="17" customHeight="1" x14ac:dyDescent="0.2">
      <c r="A9" s="182" t="s">
        <v>156</v>
      </c>
      <c r="B9" s="183"/>
      <c r="C9" s="183"/>
      <c r="D9" s="184"/>
      <c r="G9" s="58"/>
      <c r="H9" s="97"/>
    </row>
    <row r="10" spans="1:8" x14ac:dyDescent="0.2">
      <c r="A10" s="69" t="s">
        <v>116</v>
      </c>
      <c r="B10" s="101">
        <f>B11*B24</f>
        <v>9.0072559366754609E-2</v>
      </c>
      <c r="C10" s="101">
        <f>C11*C24</f>
        <v>0.14798729802932661</v>
      </c>
      <c r="D10" s="190" t="s">
        <v>157</v>
      </c>
      <c r="G10" s="57"/>
      <c r="H10" s="97"/>
    </row>
    <row r="11" spans="1:8" x14ac:dyDescent="0.2">
      <c r="A11" s="67" t="s">
        <v>115</v>
      </c>
      <c r="B11" s="101">
        <f>BancoBPM_IncomeStatement!B32/BancoBPM_BalanceSheet!B18</f>
        <v>6.2555813473408285E-3</v>
      </c>
      <c r="C11" s="101">
        <f>UniCredit_IncomeStatement!B29/UniCredit_BalanceSheet!B15</f>
        <v>1.2111244590578274E-2</v>
      </c>
      <c r="D11" s="191"/>
      <c r="G11" s="57"/>
      <c r="H11" s="97"/>
    </row>
    <row r="12" spans="1:8" x14ac:dyDescent="0.2">
      <c r="A12" s="182" t="s">
        <v>158</v>
      </c>
      <c r="B12" s="183"/>
      <c r="C12" s="183"/>
      <c r="D12" s="184"/>
      <c r="G12" s="57"/>
      <c r="H12" s="97"/>
    </row>
    <row r="13" spans="1:8" x14ac:dyDescent="0.2">
      <c r="A13" s="67" t="s">
        <v>159</v>
      </c>
      <c r="B13" s="101">
        <f>BancoBPM_IncomeStatement!B11/BancoBPM_BalanceSheet!B18</f>
        <v>2.6425517550358053E-2</v>
      </c>
      <c r="C13" s="101">
        <f>UniCredit_IncomeStatement!B8/UniCredit_BalanceSheet!B15</f>
        <v>3.0375567057720456E-2</v>
      </c>
      <c r="D13" s="190" t="s">
        <v>160</v>
      </c>
    </row>
    <row r="14" spans="1:8" x14ac:dyDescent="0.2">
      <c r="A14" s="70" t="s">
        <v>161</v>
      </c>
      <c r="B14" s="101">
        <f>BancoBPM_IncomeStatement!B32/BancoBPM_IncomeStatement!B11</f>
        <v>0.23672502668754991</v>
      </c>
      <c r="C14" s="101">
        <f>UniCredit_IncomeStatement!B29/UniCredit_IncomeStatement!B8</f>
        <v>0.39871665827881225</v>
      </c>
      <c r="D14" s="190"/>
      <c r="F14" s="103"/>
      <c r="H14" s="103"/>
    </row>
    <row r="15" spans="1:8" x14ac:dyDescent="0.2">
      <c r="A15" s="71" t="s">
        <v>162</v>
      </c>
      <c r="B15" s="96" t="s">
        <v>163</v>
      </c>
      <c r="C15" s="96" t="s">
        <v>163</v>
      </c>
      <c r="D15" s="190"/>
      <c r="G15" s="104"/>
      <c r="H15" s="104"/>
    </row>
    <row r="16" spans="1:8" x14ac:dyDescent="0.2">
      <c r="A16" s="72" t="s">
        <v>164</v>
      </c>
      <c r="B16" s="101">
        <f>-BancoBPM_IncomeStatement!B17/BancoBPM_IncomeStatement!B11</f>
        <v>0.10457737816866682</v>
      </c>
      <c r="C16" s="101">
        <f>-UniCredit_IncomeStatement!B15/UniCredit_IncomeStatement!B8</f>
        <v>2.2982721019963095E-2</v>
      </c>
      <c r="D16" s="190"/>
      <c r="G16" s="57"/>
      <c r="H16" s="57"/>
    </row>
    <row r="17" spans="1:32" ht="16" customHeight="1" x14ac:dyDescent="0.2">
      <c r="A17" s="72" t="s">
        <v>165</v>
      </c>
      <c r="B17" s="101">
        <f>-(BancoBPM_IncomeStatement!B12+BancoBPM_IncomeStatement!B13+BancoBPM_IncomeStatement!B14)/BancoBPM_IncomeStatement!B11</f>
        <v>0.48136121294586742</v>
      </c>
      <c r="C17" s="101">
        <f>-(UniCredit_IncomeStatement!B9+UniCredit_IncomeStatement!B10+UniCredit_IncomeStatement!B11+UniCredit_IncomeStatement!B12)/UniCredit_IncomeStatement!B8</f>
        <v>0.39720684448917964</v>
      </c>
      <c r="D17" s="190"/>
      <c r="G17" s="57"/>
      <c r="H17" s="57"/>
    </row>
    <row r="18" spans="1:32" ht="16" customHeight="1" x14ac:dyDescent="0.2">
      <c r="A18" s="72" t="s">
        <v>166</v>
      </c>
      <c r="B18" s="101">
        <f xml:space="preserve"> -BancoBPM_IncomeStatement!B23/BancoBPM_IncomeStatement!B11</f>
        <v>0.11321867765296338</v>
      </c>
      <c r="C18" s="101">
        <f>-UniCredit_IncomeStatement!B22/UniCredit_IncomeStatement!B8</f>
        <v>8.0271766482133869E-2</v>
      </c>
      <c r="D18" s="190"/>
    </row>
    <row r="19" spans="1:32" ht="13.5" customHeight="1" x14ac:dyDescent="0.2">
      <c r="A19" s="70" t="s">
        <v>167</v>
      </c>
      <c r="B19" s="101">
        <f>BancoBPM_IncomeStatement!B3/(BancoBPM_BalanceSheet!B4+BancoBPM_BalanceSheet!B7+BancoBPM_BalanceSheet!B11+BancoBPM_BalanceSheet!B12)</f>
        <v>1.9339981760997833E-2</v>
      </c>
      <c r="C19" s="101">
        <f>UniCredit_IncomeStatement!B3/(UniCredit_BalanceSheet!B4+UniCredit_BalanceSheet!B5+UniCredit_BalanceSheet!B6+UniCredit_BalanceSheet!B7+UniCredit_BalanceSheet!B8)</f>
        <v>2.0362823198933368E-2</v>
      </c>
      <c r="D19" s="190"/>
    </row>
    <row r="20" spans="1:32" x14ac:dyDescent="0.2">
      <c r="A20" s="182" t="s">
        <v>168</v>
      </c>
      <c r="B20" s="183"/>
      <c r="C20" s="183"/>
      <c r="D20" s="184"/>
    </row>
    <row r="21" spans="1:32" ht="15.75" customHeight="1" x14ac:dyDescent="0.2">
      <c r="A21" s="72" t="s">
        <v>169</v>
      </c>
      <c r="B21" s="68">
        <f xml:space="preserve"> 8%*(BancoBPM_BalanceSheet!B4)</f>
        <v>8765468.7200000007</v>
      </c>
      <c r="C21" s="68">
        <f xml:space="preserve"> 6%*(UniCredit_BalanceSheet!B5+UniCredit_BalanceSheet!B6)</f>
        <v>28133.16</v>
      </c>
      <c r="D21" s="188" t="s">
        <v>170</v>
      </c>
    </row>
    <row r="22" spans="1:32" ht="32.25" customHeight="1" x14ac:dyDescent="0.2">
      <c r="A22" s="95" t="s">
        <v>171</v>
      </c>
      <c r="B22" s="102">
        <f>B4-B21</f>
        <v>5272691.2799999993</v>
      </c>
      <c r="C22" s="102">
        <f>C4-C21</f>
        <v>36108.839999999997</v>
      </c>
      <c r="D22" s="189"/>
    </row>
    <row r="23" spans="1:32" ht="14.25" customHeight="1" x14ac:dyDescent="0.2">
      <c r="A23" s="182" t="s">
        <v>172</v>
      </c>
      <c r="B23" s="183"/>
      <c r="C23" s="183"/>
      <c r="D23" s="184"/>
    </row>
    <row r="24" spans="1:32" x14ac:dyDescent="0.2">
      <c r="A24" s="105" t="s">
        <v>173</v>
      </c>
      <c r="B24" s="107">
        <f>BancoBPM_BalanceSheet!B18/Solutions!B4</f>
        <v>14.398751189614593</v>
      </c>
      <c r="C24" s="108">
        <f>UniCredit_BalanceSheet!B15/Solutions!C4</f>
        <v>12.219000031132282</v>
      </c>
      <c r="D24" s="188" t="s">
        <v>174</v>
      </c>
    </row>
    <row r="25" spans="1:32" ht="17.25" customHeight="1" x14ac:dyDescent="0.2">
      <c r="A25" s="99" t="s">
        <v>175</v>
      </c>
      <c r="B25" s="193">
        <f>UniCredit_BalanceSheet!B15+BancoBPM_BalanceSheet!B18/1000</f>
        <v>987104.973</v>
      </c>
      <c r="C25" s="194"/>
      <c r="D25" s="197"/>
    </row>
    <row r="26" spans="1:32" x14ac:dyDescent="0.2">
      <c r="A26" s="99" t="s">
        <v>176</v>
      </c>
      <c r="B26" s="193">
        <f>B4/1000+C4</f>
        <v>78280.160000000003</v>
      </c>
      <c r="C26" s="194"/>
      <c r="D26" s="197"/>
    </row>
    <row r="27" spans="1:32" x14ac:dyDescent="0.2">
      <c r="A27" s="106" t="s">
        <v>177</v>
      </c>
      <c r="B27" s="195">
        <f>B25/B26</f>
        <v>12.609899788145553</v>
      </c>
      <c r="C27" s="196"/>
      <c r="D27" s="189"/>
    </row>
    <row r="28" spans="1:32" x14ac:dyDescent="0.2">
      <c r="A28" s="182" t="s">
        <v>178</v>
      </c>
      <c r="B28" s="183"/>
      <c r="C28" s="183"/>
      <c r="D28" s="184"/>
    </row>
    <row r="29" spans="1:32" ht="79.5" customHeight="1" x14ac:dyDescent="0.2">
      <c r="A29" s="213" t="s">
        <v>214</v>
      </c>
      <c r="B29" s="214"/>
      <c r="C29" s="214"/>
      <c r="D29" s="215"/>
      <c r="H29" s="94"/>
    </row>
    <row r="30" spans="1:32" ht="92" customHeight="1" x14ac:dyDescent="0.2">
      <c r="A30" s="156" t="s">
        <v>215</v>
      </c>
      <c r="B30" s="93"/>
      <c r="C30" s="93"/>
      <c r="H30" s="94"/>
    </row>
    <row r="31" spans="1:32" x14ac:dyDescent="0.2">
      <c r="A31" s="56"/>
      <c r="B31" s="157"/>
      <c r="C31" s="157"/>
      <c r="F31" s="56"/>
      <c r="G31" s="56"/>
      <c r="H31" s="56"/>
      <c r="J31" s="56"/>
      <c r="K31" s="56"/>
      <c r="L31" s="158"/>
      <c r="M31" s="158"/>
      <c r="N31" s="158"/>
      <c r="O31" s="158"/>
      <c r="P31" s="158"/>
      <c r="Q31" s="158"/>
    </row>
    <row r="32" spans="1:32" x14ac:dyDescent="0.2">
      <c r="B32" s="58"/>
      <c r="C32" s="58"/>
      <c r="K32" s="56"/>
      <c r="AF32" s="56"/>
    </row>
    <row r="33" spans="1:4" ht="16.5" customHeight="1" x14ac:dyDescent="0.2"/>
    <row r="34" spans="1:4" ht="16.5" customHeight="1" x14ac:dyDescent="0.2">
      <c r="A34" s="122" t="s">
        <v>179</v>
      </c>
      <c r="B34" s="122" t="s">
        <v>180</v>
      </c>
      <c r="C34" s="122" t="s">
        <v>181</v>
      </c>
      <c r="D34" s="122" t="s">
        <v>182</v>
      </c>
    </row>
    <row r="35" spans="1:4" x14ac:dyDescent="0.2">
      <c r="A35" s="124" t="s">
        <v>183</v>
      </c>
      <c r="B35" s="125">
        <f>BancoBPM_BalanceSheet!$B$52</f>
        <v>6.8409560507777751</v>
      </c>
      <c r="C35" s="125">
        <f>UniCredit_BalanceSheet!$B$41</f>
        <v>7.0640418969824426</v>
      </c>
      <c r="D35" s="126" t="s">
        <v>184</v>
      </c>
    </row>
    <row r="36" spans="1:4" x14ac:dyDescent="0.2">
      <c r="A36" s="127" t="s">
        <v>185</v>
      </c>
      <c r="B36" s="128">
        <v>4004674.6</v>
      </c>
      <c r="C36" s="128">
        <v>14891.88</v>
      </c>
      <c r="D36" s="127" t="s">
        <v>186</v>
      </c>
    </row>
    <row r="37" spans="1:4" x14ac:dyDescent="0.2">
      <c r="A37" s="127" t="s">
        <v>187</v>
      </c>
      <c r="B37" s="128">
        <v>440678.14</v>
      </c>
      <c r="C37" s="128">
        <v>1167.97</v>
      </c>
      <c r="D37" s="127" t="s">
        <v>188</v>
      </c>
    </row>
    <row r="38" spans="1:4" ht="85" x14ac:dyDescent="0.2">
      <c r="A38" s="129" t="s">
        <v>189</v>
      </c>
      <c r="B38" s="130">
        <v>3563996.47</v>
      </c>
      <c r="C38" s="130">
        <v>13723.91</v>
      </c>
      <c r="D38" s="133" t="s">
        <v>190</v>
      </c>
    </row>
    <row r="39" spans="1:4" ht="68" x14ac:dyDescent="0.2">
      <c r="A39" s="129" t="s">
        <v>191</v>
      </c>
      <c r="B39" s="130">
        <v>-13827759.439999999</v>
      </c>
      <c r="C39" s="130">
        <v>-55450.82</v>
      </c>
      <c r="D39" s="133" t="s">
        <v>192</v>
      </c>
    </row>
    <row r="40" spans="1:4" x14ac:dyDescent="0.2">
      <c r="A40" s="127" t="s">
        <v>193</v>
      </c>
      <c r="B40" s="128">
        <v>210400.56</v>
      </c>
      <c r="C40" s="128">
        <v>8791.18</v>
      </c>
      <c r="D40" s="129"/>
    </row>
    <row r="41" spans="1:4" ht="68" x14ac:dyDescent="0.2">
      <c r="A41" s="129" t="s">
        <v>189</v>
      </c>
      <c r="B41" s="130">
        <v>6913879.7199999997</v>
      </c>
      <c r="C41" s="130">
        <v>27725.41</v>
      </c>
      <c r="D41" s="133" t="s">
        <v>194</v>
      </c>
    </row>
    <row r="42" spans="1:4" x14ac:dyDescent="0.2">
      <c r="A42" s="127" t="s">
        <v>193</v>
      </c>
      <c r="B42" s="128">
        <v>20952039.719999999</v>
      </c>
      <c r="C42" s="128">
        <v>91967.41</v>
      </c>
      <c r="D42" s="129"/>
    </row>
    <row r="46" spans="1:4" x14ac:dyDescent="0.2">
      <c r="A46" s="198" t="s">
        <v>195</v>
      </c>
      <c r="B46" s="199"/>
      <c r="C46" s="199"/>
      <c r="D46" s="200"/>
    </row>
    <row r="47" spans="1:4" x14ac:dyDescent="0.2">
      <c r="A47" s="182" t="s">
        <v>150</v>
      </c>
      <c r="B47" s="183"/>
      <c r="C47" s="183"/>
      <c r="D47" s="184"/>
    </row>
    <row r="48" spans="1:4" x14ac:dyDescent="0.2">
      <c r="A48" s="112" t="s">
        <v>196</v>
      </c>
      <c r="B48" s="113">
        <f>50%*BancoBPM_BalanceSheet!B20</f>
        <v>50930982</v>
      </c>
      <c r="C48" s="114"/>
      <c r="D48" s="114"/>
    </row>
    <row r="49" spans="1:4" x14ac:dyDescent="0.2">
      <c r="A49" s="116" t="s">
        <v>8</v>
      </c>
      <c r="B49" s="117">
        <f>BancoBPM_BalanceSheet!B3</f>
        <v>18297496</v>
      </c>
      <c r="C49" s="116"/>
      <c r="D49" s="116"/>
    </row>
    <row r="50" spans="1:4" x14ac:dyDescent="0.2">
      <c r="A50" s="118" t="s">
        <v>197</v>
      </c>
      <c r="B50" s="119">
        <f>BancoBPM_BalanceSheet!B8+BancoBPM_BalanceSheet!B9</f>
        <v>18084707</v>
      </c>
      <c r="C50" s="118"/>
      <c r="D50" s="118"/>
    </row>
    <row r="51" spans="1:4" x14ac:dyDescent="0.2">
      <c r="A51" s="173"/>
      <c r="B51" s="174"/>
      <c r="C51" s="174"/>
      <c r="D51" s="175"/>
    </row>
    <row r="52" spans="1:4" x14ac:dyDescent="0.2">
      <c r="A52" s="179" t="s">
        <v>198</v>
      </c>
      <c r="B52" s="180"/>
      <c r="C52" s="181"/>
      <c r="D52" s="176" t="s">
        <v>199</v>
      </c>
    </row>
    <row r="53" spans="1:4" ht="15.75" customHeight="1" x14ac:dyDescent="0.2">
      <c r="A53" s="116" t="s">
        <v>200</v>
      </c>
      <c r="B53" s="117">
        <f>B50*(1-40%)</f>
        <v>10850824.199999999</v>
      </c>
      <c r="C53" s="116"/>
      <c r="D53" s="177"/>
    </row>
    <row r="54" spans="1:4" x14ac:dyDescent="0.2">
      <c r="A54" s="118" t="s">
        <v>201</v>
      </c>
      <c r="B54" s="120">
        <f>B49+B53</f>
        <v>29148320.199999999</v>
      </c>
      <c r="C54" s="118"/>
      <c r="D54" s="178"/>
    </row>
    <row r="55" spans="1:4" x14ac:dyDescent="0.2">
      <c r="A55" s="201"/>
      <c r="B55" s="202"/>
      <c r="C55" s="202"/>
      <c r="D55" s="203"/>
    </row>
    <row r="56" spans="1:4" x14ac:dyDescent="0.2">
      <c r="A56" s="204"/>
      <c r="B56" s="205"/>
      <c r="C56" s="205"/>
      <c r="D56" s="206"/>
    </row>
    <row r="57" spans="1:4" x14ac:dyDescent="0.2">
      <c r="A57" s="179" t="s">
        <v>202</v>
      </c>
      <c r="B57" s="180"/>
      <c r="C57" s="181"/>
      <c r="D57" s="176" t="s">
        <v>203</v>
      </c>
    </row>
    <row r="58" spans="1:4" ht="15.75" customHeight="1" x14ac:dyDescent="0.2">
      <c r="A58" s="116" t="s">
        <v>204</v>
      </c>
      <c r="B58" s="117">
        <f>B50*(1-8%)</f>
        <v>16637930.440000001</v>
      </c>
      <c r="C58" s="116"/>
      <c r="D58" s="177"/>
    </row>
    <row r="59" spans="1:4" x14ac:dyDescent="0.2">
      <c r="A59" s="116" t="s">
        <v>205</v>
      </c>
      <c r="B59" s="121">
        <f>B58+B49</f>
        <v>34935426.439999998</v>
      </c>
      <c r="C59" s="116"/>
      <c r="D59" s="178"/>
    </row>
    <row r="60" spans="1:4" x14ac:dyDescent="0.2">
      <c r="A60" s="207"/>
      <c r="B60" s="208"/>
      <c r="C60" s="208"/>
      <c r="D60" s="209"/>
    </row>
    <row r="61" spans="1:4" x14ac:dyDescent="0.2">
      <c r="A61" s="210"/>
      <c r="B61" s="211"/>
      <c r="C61" s="211"/>
      <c r="D61" s="212"/>
    </row>
    <row r="62" spans="1:4" ht="16.5" customHeight="1" x14ac:dyDescent="0.2">
      <c r="A62" s="179" t="s">
        <v>206</v>
      </c>
      <c r="B62" s="180"/>
      <c r="C62" s="181"/>
      <c r="D62" s="176" t="s">
        <v>207</v>
      </c>
    </row>
    <row r="63" spans="1:4" ht="15.75" customHeight="1" x14ac:dyDescent="0.2">
      <c r="A63" s="116" t="s">
        <v>208</v>
      </c>
      <c r="B63" s="117">
        <f>B50*(1-0%)</f>
        <v>18084707</v>
      </c>
      <c r="C63" s="116"/>
      <c r="D63" s="177"/>
    </row>
    <row r="64" spans="1:4" x14ac:dyDescent="0.2">
      <c r="A64" s="116" t="s">
        <v>209</v>
      </c>
      <c r="B64" s="121">
        <f>B49+B63</f>
        <v>36382203</v>
      </c>
      <c r="C64" s="116"/>
      <c r="D64" s="178"/>
    </row>
    <row r="65" spans="1:4" x14ac:dyDescent="0.2">
      <c r="A65" s="182" t="s">
        <v>152</v>
      </c>
      <c r="B65" s="183"/>
      <c r="C65" s="183"/>
      <c r="D65" s="184"/>
    </row>
    <row r="66" spans="1:4" x14ac:dyDescent="0.2">
      <c r="A66" s="115" t="s">
        <v>210</v>
      </c>
      <c r="B66" s="116"/>
      <c r="C66" s="116"/>
      <c r="D66" s="118"/>
    </row>
    <row r="67" spans="1:4" ht="63.75" customHeight="1" x14ac:dyDescent="0.2">
      <c r="A67" s="134" t="s">
        <v>211</v>
      </c>
      <c r="B67" s="135">
        <v>1.87</v>
      </c>
      <c r="C67" s="136">
        <v>1.54</v>
      </c>
      <c r="D67" s="190" t="s">
        <v>212</v>
      </c>
    </row>
    <row r="68" spans="1:4" ht="66.75" customHeight="1" x14ac:dyDescent="0.2">
      <c r="A68" s="137" t="s">
        <v>213</v>
      </c>
      <c r="B68" s="138">
        <v>1.29</v>
      </c>
      <c r="C68" s="142">
        <v>1.3</v>
      </c>
      <c r="D68" s="190"/>
    </row>
  </sheetData>
  <mergeCells count="30">
    <mergeCell ref="D67:D68"/>
    <mergeCell ref="D10:D11"/>
    <mergeCell ref="D13:D19"/>
    <mergeCell ref="D6:D8"/>
    <mergeCell ref="A9:D9"/>
    <mergeCell ref="B25:C25"/>
    <mergeCell ref="B26:C26"/>
    <mergeCell ref="B27:C27"/>
    <mergeCell ref="D24:D27"/>
    <mergeCell ref="A28:D28"/>
    <mergeCell ref="A46:D46"/>
    <mergeCell ref="A47:D47"/>
    <mergeCell ref="A65:D65"/>
    <mergeCell ref="A55:D56"/>
    <mergeCell ref="A60:D61"/>
    <mergeCell ref="A29:D29"/>
    <mergeCell ref="A3:D3"/>
    <mergeCell ref="A2:D2"/>
    <mergeCell ref="A12:D12"/>
    <mergeCell ref="A20:D20"/>
    <mergeCell ref="A23:D23"/>
    <mergeCell ref="D21:D22"/>
    <mergeCell ref="A5:D5"/>
    <mergeCell ref="A51:D51"/>
    <mergeCell ref="D62:D64"/>
    <mergeCell ref="A62:C62"/>
    <mergeCell ref="D57:D59"/>
    <mergeCell ref="A57:C57"/>
    <mergeCell ref="D52:D54"/>
    <mergeCell ref="A52:C52"/>
  </mergeCells>
  <phoneticPr fontId="19" type="noConversion"/>
  <pageMargins left="0.7" right="0.7" top="0.75" bottom="0.75" header="0.3" footer="0.3"/>
  <pageSetup paperSize="8"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BancoBPM_BalanceSheet</vt:lpstr>
      <vt:lpstr>BancoBPM_IncomeStatement</vt:lpstr>
      <vt:lpstr>UniCredit_BalanceSheet</vt:lpstr>
      <vt:lpstr>UniCredit_IncomeStatement</vt:lpstr>
      <vt:lpstr>Solutions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Cereda Francesca</dc:creator>
  <cp:keywords/>
  <dc:description/>
  <cp:lastModifiedBy>Mori Edoardo</cp:lastModifiedBy>
  <cp:revision/>
  <dcterms:created xsi:type="dcterms:W3CDTF">2025-03-17T11:56:21Z</dcterms:created>
  <dcterms:modified xsi:type="dcterms:W3CDTF">2026-05-09T01:04:42Z</dcterms:modified>
  <cp:category/>
  <cp:contentStatus/>
</cp:coreProperties>
</file>